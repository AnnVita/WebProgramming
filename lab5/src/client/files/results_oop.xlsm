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0" yWindow="0" windowWidth="19200" windowHeight="10635" tabRatio="652" firstSheet="1" activeTab="10"/>
  </bookViews>
  <sheets>
    <sheet name="Лаб0" sheetId="1" r:id="rId1"/>
    <sheet name="Лаб1" sheetId="5" r:id="rId2"/>
    <sheet name="Лаб2" sheetId="36" r:id="rId3"/>
    <sheet name="Лаб3" sheetId="38" r:id="rId4"/>
    <sheet name="Лаб4" sheetId="39" r:id="rId5"/>
    <sheet name="Лаб5" sheetId="40" r:id="rId6"/>
    <sheet name="Лаб6" sheetId="41" r:id="rId7"/>
    <sheet name="Лаб7" sheetId="42" r:id="rId8"/>
    <sheet name="Посещаемость" sheetId="27" r:id="rId9"/>
    <sheet name="Итоги" sheetId="6" r:id="rId10"/>
    <sheet name="Сорт.итоги по группам" sheetId="18" r:id="rId11"/>
    <sheet name="РГР-removed" sheetId="44" r:id="rId12"/>
    <sheet name="Лаб8-removed" sheetId="43" r:id="rId13"/>
    <sheet name="Лаб4-removed" sheetId="37" r:id="rId14"/>
    <sheet name="Должники" sheetId="35" r:id="rId15"/>
    <sheet name="Тех.карта" sheetId="3" r:id="rId16"/>
    <sheet name="Лист1" sheetId="16" r:id="rId17"/>
    <sheet name="Лист2" sheetId="45" r:id="rId18"/>
    <sheet name="Лист3" sheetId="46" r:id="rId19"/>
  </sheets>
  <functionGroups builtInGroupCount="18"/>
  <calcPr calcId="152511"/>
</workbook>
</file>

<file path=xl/calcChain.xml><?xml version="1.0" encoding="utf-8"?>
<calcChain xmlns="http://schemas.openxmlformats.org/spreadsheetml/2006/main">
  <c r="N66" i="18" l="1"/>
  <c r="J66" i="18"/>
  <c r="I66" i="18"/>
  <c r="H66" i="18"/>
  <c r="G66" i="18"/>
  <c r="F66" i="18"/>
  <c r="E66" i="18"/>
  <c r="D66" i="18"/>
  <c r="D71" i="18" s="1"/>
  <c r="C66" i="18"/>
  <c r="N65" i="18"/>
  <c r="J65" i="18"/>
  <c r="I65" i="18"/>
  <c r="H65" i="18"/>
  <c r="G65" i="18"/>
  <c r="F65" i="18"/>
  <c r="U65" i="18" s="1"/>
  <c r="E65" i="18"/>
  <c r="D65" i="18"/>
  <c r="T65" i="18" s="1"/>
  <c r="C65" i="18"/>
  <c r="N64" i="18"/>
  <c r="J64" i="18"/>
  <c r="I64" i="18"/>
  <c r="H64" i="18"/>
  <c r="G64" i="18"/>
  <c r="F64" i="18"/>
  <c r="E64" i="18"/>
  <c r="D64" i="18"/>
  <c r="D69" i="18" s="1"/>
  <c r="C64" i="18"/>
  <c r="V63" i="18"/>
  <c r="R63" i="18"/>
  <c r="N63" i="18"/>
  <c r="J63" i="18"/>
  <c r="I63" i="18"/>
  <c r="H63" i="18"/>
  <c r="G63" i="18"/>
  <c r="F63" i="18"/>
  <c r="E63" i="18"/>
  <c r="D63" i="18"/>
  <c r="C63" i="18"/>
  <c r="V62" i="18"/>
  <c r="R62" i="18"/>
  <c r="N62" i="18"/>
  <c r="J62" i="18"/>
  <c r="I62" i="18"/>
  <c r="H62" i="18"/>
  <c r="G62" i="18"/>
  <c r="F62" i="18"/>
  <c r="E62" i="18"/>
  <c r="D62" i="18"/>
  <c r="C62" i="18"/>
  <c r="V42" i="18"/>
  <c r="R42" i="18"/>
  <c r="N42" i="18"/>
  <c r="J42" i="18"/>
  <c r="I42" i="18"/>
  <c r="H42" i="18"/>
  <c r="G42" i="18"/>
  <c r="F42" i="18"/>
  <c r="E42" i="18"/>
  <c r="D42" i="18"/>
  <c r="C42" i="18"/>
  <c r="V34" i="18"/>
  <c r="R34" i="18"/>
  <c r="N34" i="18"/>
  <c r="J34" i="18"/>
  <c r="I34" i="18"/>
  <c r="H34" i="18"/>
  <c r="G34" i="18"/>
  <c r="F34" i="18"/>
  <c r="E34" i="18"/>
  <c r="D34" i="18"/>
  <c r="C34" i="18"/>
  <c r="V61" i="18"/>
  <c r="R61" i="18"/>
  <c r="N61" i="18"/>
  <c r="J61" i="18"/>
  <c r="I61" i="18"/>
  <c r="H61" i="18"/>
  <c r="G61" i="18"/>
  <c r="F61" i="18"/>
  <c r="E61" i="18"/>
  <c r="D61" i="18"/>
  <c r="C61" i="18"/>
  <c r="V60" i="18"/>
  <c r="R60" i="18"/>
  <c r="N60" i="18"/>
  <c r="J60" i="18"/>
  <c r="I60" i="18"/>
  <c r="H60" i="18"/>
  <c r="G60" i="18"/>
  <c r="F60" i="18"/>
  <c r="E60" i="18"/>
  <c r="D60" i="18"/>
  <c r="C60" i="18"/>
  <c r="V59" i="18"/>
  <c r="R59" i="18"/>
  <c r="N59" i="18"/>
  <c r="J59" i="18"/>
  <c r="I59" i="18"/>
  <c r="H59" i="18"/>
  <c r="G59" i="18"/>
  <c r="F59" i="18"/>
  <c r="E59" i="18"/>
  <c r="D59" i="18"/>
  <c r="C59" i="18"/>
  <c r="O59" i="18" s="1"/>
  <c r="V58" i="18"/>
  <c r="R58" i="18"/>
  <c r="N58" i="18"/>
  <c r="J58" i="18"/>
  <c r="I58" i="18"/>
  <c r="H58" i="18"/>
  <c r="G58" i="18"/>
  <c r="F58" i="18"/>
  <c r="E58" i="18"/>
  <c r="D58" i="18"/>
  <c r="C58" i="18"/>
  <c r="V35" i="18"/>
  <c r="R35" i="18"/>
  <c r="N35" i="18"/>
  <c r="J35" i="18"/>
  <c r="I35" i="18"/>
  <c r="H35" i="18"/>
  <c r="G35" i="18"/>
  <c r="F35" i="18"/>
  <c r="E35" i="18"/>
  <c r="D35" i="18"/>
  <c r="C35" i="18"/>
  <c r="V44" i="18"/>
  <c r="R44" i="18"/>
  <c r="N44" i="18"/>
  <c r="J44" i="18"/>
  <c r="I44" i="18"/>
  <c r="H44" i="18"/>
  <c r="G44" i="18"/>
  <c r="F44" i="18"/>
  <c r="E44" i="18"/>
  <c r="D44" i="18"/>
  <c r="P44" i="18" s="1"/>
  <c r="C44" i="18"/>
  <c r="V57" i="18"/>
  <c r="R57" i="18"/>
  <c r="N57" i="18"/>
  <c r="J57" i="18"/>
  <c r="I57" i="18"/>
  <c r="H57" i="18"/>
  <c r="G57" i="18"/>
  <c r="F57" i="18"/>
  <c r="E57" i="18"/>
  <c r="D57" i="18"/>
  <c r="C57" i="18"/>
  <c r="V56" i="18"/>
  <c r="R56" i="18"/>
  <c r="N56" i="18"/>
  <c r="J56" i="18"/>
  <c r="I56" i="18"/>
  <c r="H56" i="18"/>
  <c r="G56" i="18"/>
  <c r="F56" i="18"/>
  <c r="E56" i="18"/>
  <c r="D56" i="18"/>
  <c r="C56" i="18"/>
  <c r="V45" i="18"/>
  <c r="R45" i="18"/>
  <c r="N45" i="18"/>
  <c r="J45" i="18"/>
  <c r="I45" i="18"/>
  <c r="H45" i="18"/>
  <c r="G45" i="18"/>
  <c r="F45" i="18"/>
  <c r="E45" i="18"/>
  <c r="P45" i="18" s="1"/>
  <c r="D45" i="18"/>
  <c r="C45" i="18"/>
  <c r="V38" i="18"/>
  <c r="R38" i="18"/>
  <c r="N38" i="18"/>
  <c r="J38" i="18"/>
  <c r="I38" i="18"/>
  <c r="H38" i="18"/>
  <c r="G38" i="18"/>
  <c r="F38" i="18"/>
  <c r="E38" i="18"/>
  <c r="D38" i="18"/>
  <c r="C38" i="18"/>
  <c r="V55" i="18"/>
  <c r="R55" i="18"/>
  <c r="N55" i="18"/>
  <c r="J55" i="18"/>
  <c r="I55" i="18"/>
  <c r="H55" i="18"/>
  <c r="G55" i="18"/>
  <c r="F55" i="18"/>
  <c r="E55" i="18"/>
  <c r="D55" i="18"/>
  <c r="C55" i="18"/>
  <c r="P55" i="18" s="1"/>
  <c r="V37" i="18"/>
  <c r="R37" i="18"/>
  <c r="N37" i="18"/>
  <c r="J37" i="18"/>
  <c r="I37" i="18"/>
  <c r="H37" i="18"/>
  <c r="G37" i="18"/>
  <c r="F37" i="18"/>
  <c r="E37" i="18"/>
  <c r="D37" i="18"/>
  <c r="C37" i="18"/>
  <c r="V54" i="18"/>
  <c r="R54" i="18"/>
  <c r="N54" i="18"/>
  <c r="J54" i="18"/>
  <c r="I54" i="18"/>
  <c r="H54" i="18"/>
  <c r="G54" i="18"/>
  <c r="F54" i="18"/>
  <c r="E54" i="18"/>
  <c r="D54" i="18"/>
  <c r="C54" i="18"/>
  <c r="V53" i="18"/>
  <c r="R53" i="18"/>
  <c r="N53" i="18"/>
  <c r="J53" i="18"/>
  <c r="I53" i="18"/>
  <c r="H53" i="18"/>
  <c r="G53" i="18"/>
  <c r="F53" i="18"/>
  <c r="E53" i="18"/>
  <c r="D53" i="18"/>
  <c r="O53" i="18" s="1"/>
  <c r="C53" i="18"/>
  <c r="V52" i="18"/>
  <c r="R52" i="18"/>
  <c r="N52" i="18"/>
  <c r="J52" i="18"/>
  <c r="I52" i="18"/>
  <c r="H52" i="18"/>
  <c r="G52" i="18"/>
  <c r="F52" i="18"/>
  <c r="E52" i="18"/>
  <c r="D52" i="18"/>
  <c r="C52" i="18"/>
  <c r="V51" i="18"/>
  <c r="R51" i="18"/>
  <c r="N51" i="18"/>
  <c r="J51" i="18"/>
  <c r="I51" i="18"/>
  <c r="H51" i="18"/>
  <c r="G51" i="18"/>
  <c r="F51" i="18"/>
  <c r="E51" i="18"/>
  <c r="D51" i="18"/>
  <c r="C51" i="18"/>
  <c r="V36" i="18"/>
  <c r="R36" i="18"/>
  <c r="N36" i="18"/>
  <c r="J36" i="18"/>
  <c r="I36" i="18"/>
  <c r="H36" i="18"/>
  <c r="G36" i="18"/>
  <c r="F36" i="18"/>
  <c r="E36" i="18"/>
  <c r="P36" i="18" s="1"/>
  <c r="D36" i="18"/>
  <c r="C36" i="18"/>
  <c r="V50" i="18"/>
  <c r="R50" i="18"/>
  <c r="N50" i="18"/>
  <c r="J50" i="18"/>
  <c r="I50" i="18"/>
  <c r="H50" i="18"/>
  <c r="G50" i="18"/>
  <c r="F50" i="18"/>
  <c r="E50" i="18"/>
  <c r="D50" i="18"/>
  <c r="C50" i="18"/>
  <c r="V49" i="18"/>
  <c r="R49" i="18"/>
  <c r="N49" i="18"/>
  <c r="J49" i="18"/>
  <c r="I49" i="18"/>
  <c r="H49" i="18"/>
  <c r="G49" i="18"/>
  <c r="F49" i="18"/>
  <c r="E49" i="18"/>
  <c r="D49" i="18"/>
  <c r="C49" i="18"/>
  <c r="P49" i="18" s="1"/>
  <c r="V40" i="18"/>
  <c r="R40" i="18"/>
  <c r="N40" i="18"/>
  <c r="J40" i="18"/>
  <c r="I40" i="18"/>
  <c r="H40" i="18"/>
  <c r="G40" i="18"/>
  <c r="F40" i="18"/>
  <c r="E40" i="18"/>
  <c r="D40" i="18"/>
  <c r="C40" i="18"/>
  <c r="V39" i="18"/>
  <c r="R39" i="18"/>
  <c r="N39" i="18"/>
  <c r="J39" i="18"/>
  <c r="I39" i="18"/>
  <c r="H39" i="18"/>
  <c r="G39" i="18"/>
  <c r="F39" i="18"/>
  <c r="E39" i="18"/>
  <c r="D39" i="18"/>
  <c r="C39" i="18"/>
  <c r="V43" i="18"/>
  <c r="R43" i="18"/>
  <c r="N43" i="18"/>
  <c r="J43" i="18"/>
  <c r="I43" i="18"/>
  <c r="H43" i="18"/>
  <c r="G43" i="18"/>
  <c r="F43" i="18"/>
  <c r="E43" i="18"/>
  <c r="D43" i="18"/>
  <c r="O43" i="18" s="1"/>
  <c r="C43" i="18"/>
  <c r="V48" i="18"/>
  <c r="R48" i="18"/>
  <c r="N48" i="18"/>
  <c r="J48" i="18"/>
  <c r="I48" i="18"/>
  <c r="H48" i="18"/>
  <c r="G48" i="18"/>
  <c r="F48" i="18"/>
  <c r="E48" i="18"/>
  <c r="D48" i="18"/>
  <c r="C48" i="18"/>
  <c r="V47" i="18"/>
  <c r="R47" i="18"/>
  <c r="N47" i="18"/>
  <c r="J47" i="18"/>
  <c r="I47" i="18"/>
  <c r="H47" i="18"/>
  <c r="G47" i="18"/>
  <c r="F47" i="18"/>
  <c r="E47" i="18"/>
  <c r="D47" i="18"/>
  <c r="C47" i="18"/>
  <c r="V46" i="18"/>
  <c r="R46" i="18"/>
  <c r="N46" i="18"/>
  <c r="J46" i="18"/>
  <c r="I46" i="18"/>
  <c r="H46" i="18"/>
  <c r="G46" i="18"/>
  <c r="F46" i="18"/>
  <c r="E46" i="18"/>
  <c r="D46" i="18"/>
  <c r="C46" i="18"/>
  <c r="V41" i="18"/>
  <c r="R41" i="18"/>
  <c r="N41" i="18"/>
  <c r="J41" i="18"/>
  <c r="I41" i="18"/>
  <c r="H41" i="18"/>
  <c r="G41" i="18"/>
  <c r="F41" i="18"/>
  <c r="E41" i="18"/>
  <c r="D41" i="18"/>
  <c r="C41" i="18"/>
  <c r="V32" i="18"/>
  <c r="R32" i="18"/>
  <c r="N32" i="18"/>
  <c r="J32" i="18"/>
  <c r="I32" i="18"/>
  <c r="H32" i="18"/>
  <c r="G32" i="18"/>
  <c r="F32" i="18"/>
  <c r="E32" i="18"/>
  <c r="D32" i="18"/>
  <c r="C32" i="18"/>
  <c r="V31" i="18"/>
  <c r="R31" i="18"/>
  <c r="N31" i="18"/>
  <c r="J31" i="18"/>
  <c r="I31" i="18"/>
  <c r="H31" i="18"/>
  <c r="G31" i="18"/>
  <c r="F31" i="18"/>
  <c r="E31" i="18"/>
  <c r="D31" i="18"/>
  <c r="C31" i="18"/>
  <c r="V15" i="18"/>
  <c r="R15" i="18"/>
  <c r="N15" i="18"/>
  <c r="J15" i="18"/>
  <c r="I15" i="18"/>
  <c r="H15" i="18"/>
  <c r="G15" i="18"/>
  <c r="F15" i="18"/>
  <c r="E15" i="18"/>
  <c r="D15" i="18"/>
  <c r="C15" i="18"/>
  <c r="V3" i="18"/>
  <c r="R3" i="18"/>
  <c r="N3" i="18"/>
  <c r="J3" i="18"/>
  <c r="I3" i="18"/>
  <c r="H3" i="18"/>
  <c r="G3" i="18"/>
  <c r="F3" i="18"/>
  <c r="E3" i="18"/>
  <c r="D3" i="18"/>
  <c r="C3" i="18"/>
  <c r="O3" i="18" s="1"/>
  <c r="V18" i="18"/>
  <c r="R18" i="18"/>
  <c r="N18" i="18"/>
  <c r="J18" i="18"/>
  <c r="I18" i="18"/>
  <c r="H18" i="18"/>
  <c r="G18" i="18"/>
  <c r="F18" i="18"/>
  <c r="E18" i="18"/>
  <c r="D18" i="18"/>
  <c r="C18" i="18"/>
  <c r="V14" i="18"/>
  <c r="R14" i="18"/>
  <c r="N14" i="18"/>
  <c r="J14" i="18"/>
  <c r="I14" i="18"/>
  <c r="H14" i="18"/>
  <c r="G14" i="18"/>
  <c r="F14" i="18"/>
  <c r="E14" i="18"/>
  <c r="D14" i="18"/>
  <c r="C14" i="18"/>
  <c r="V30" i="18"/>
  <c r="R30" i="18"/>
  <c r="N30" i="18"/>
  <c r="J30" i="18"/>
  <c r="I30" i="18"/>
  <c r="H30" i="18"/>
  <c r="G30" i="18"/>
  <c r="F30" i="18"/>
  <c r="E30" i="18"/>
  <c r="D30" i="18"/>
  <c r="C30" i="18"/>
  <c r="V24" i="18"/>
  <c r="R24" i="18"/>
  <c r="N24" i="18"/>
  <c r="J24" i="18"/>
  <c r="I24" i="18"/>
  <c r="H24" i="18"/>
  <c r="G24" i="18"/>
  <c r="F24" i="18"/>
  <c r="E24" i="18"/>
  <c r="D24" i="18"/>
  <c r="C24" i="18"/>
  <c r="V16" i="18"/>
  <c r="R16" i="18"/>
  <c r="N16" i="18"/>
  <c r="J16" i="18"/>
  <c r="I16" i="18"/>
  <c r="H16" i="18"/>
  <c r="G16" i="18"/>
  <c r="F16" i="18"/>
  <c r="E16" i="18"/>
  <c r="D16" i="18"/>
  <c r="C16" i="18"/>
  <c r="V9" i="18"/>
  <c r="R9" i="18"/>
  <c r="N9" i="18"/>
  <c r="J9" i="18"/>
  <c r="I9" i="18"/>
  <c r="H9" i="18"/>
  <c r="G9" i="18"/>
  <c r="F9" i="18"/>
  <c r="E9" i="18"/>
  <c r="D9" i="18"/>
  <c r="C9" i="18"/>
  <c r="V29" i="18"/>
  <c r="R29" i="18"/>
  <c r="N29" i="18"/>
  <c r="J29" i="18"/>
  <c r="I29" i="18"/>
  <c r="H29" i="18"/>
  <c r="G29" i="18"/>
  <c r="F29" i="18"/>
  <c r="E29" i="18"/>
  <c r="D29" i="18"/>
  <c r="C29" i="18"/>
  <c r="O29" i="18" s="1"/>
  <c r="V26" i="18"/>
  <c r="R26" i="18"/>
  <c r="N26" i="18"/>
  <c r="J26" i="18"/>
  <c r="I26" i="18"/>
  <c r="H26" i="18"/>
  <c r="G26" i="18"/>
  <c r="F26" i="18"/>
  <c r="E26" i="18"/>
  <c r="D26" i="18"/>
  <c r="C26" i="18"/>
  <c r="V22" i="18"/>
  <c r="R22" i="18"/>
  <c r="N22" i="18"/>
  <c r="J22" i="18"/>
  <c r="I22" i="18"/>
  <c r="H22" i="18"/>
  <c r="G22" i="18"/>
  <c r="F22" i="18"/>
  <c r="E22" i="18"/>
  <c r="D22" i="18"/>
  <c r="C22" i="18"/>
  <c r="V28" i="18"/>
  <c r="R28" i="18"/>
  <c r="N28" i="18"/>
  <c r="J28" i="18"/>
  <c r="I28" i="18"/>
  <c r="H28" i="18"/>
  <c r="G28" i="18"/>
  <c r="F28" i="18"/>
  <c r="E28" i="18"/>
  <c r="D28" i="18"/>
  <c r="C28" i="18"/>
  <c r="V12" i="18"/>
  <c r="R12" i="18"/>
  <c r="N12" i="18"/>
  <c r="J12" i="18"/>
  <c r="I12" i="18"/>
  <c r="H12" i="18"/>
  <c r="G12" i="18"/>
  <c r="F12" i="18"/>
  <c r="E12" i="18"/>
  <c r="D12" i="18"/>
  <c r="C12" i="18"/>
  <c r="V25" i="18"/>
  <c r="R25" i="18"/>
  <c r="N25" i="18"/>
  <c r="J25" i="18"/>
  <c r="I25" i="18"/>
  <c r="H25" i="18"/>
  <c r="G25" i="18"/>
  <c r="F25" i="18"/>
  <c r="E25" i="18"/>
  <c r="D25" i="18"/>
  <c r="C25" i="18"/>
  <c r="V5" i="18"/>
  <c r="R5" i="18"/>
  <c r="N5" i="18"/>
  <c r="J5" i="18"/>
  <c r="I5" i="18"/>
  <c r="H5" i="18"/>
  <c r="G5" i="18"/>
  <c r="F5" i="18"/>
  <c r="E5" i="18"/>
  <c r="D5" i="18"/>
  <c r="C5" i="18"/>
  <c r="V7" i="18"/>
  <c r="R7" i="18"/>
  <c r="N7" i="18"/>
  <c r="J7" i="18"/>
  <c r="I7" i="18"/>
  <c r="H7" i="18"/>
  <c r="G7" i="18"/>
  <c r="F7" i="18"/>
  <c r="E7" i="18"/>
  <c r="D7" i="18"/>
  <c r="C7" i="18"/>
  <c r="V27" i="18"/>
  <c r="R27" i="18"/>
  <c r="N27" i="18"/>
  <c r="J27" i="18"/>
  <c r="I27" i="18"/>
  <c r="H27" i="18"/>
  <c r="G27" i="18"/>
  <c r="F27" i="18"/>
  <c r="E27" i="18"/>
  <c r="D27" i="18"/>
  <c r="C27" i="18"/>
  <c r="O27" i="18" s="1"/>
  <c r="V4" i="18"/>
  <c r="R4" i="18"/>
  <c r="N4" i="18"/>
  <c r="J4" i="18"/>
  <c r="I4" i="18"/>
  <c r="H4" i="18"/>
  <c r="G4" i="18"/>
  <c r="F4" i="18"/>
  <c r="E4" i="18"/>
  <c r="D4" i="18"/>
  <c r="C4" i="18"/>
  <c r="V19" i="18"/>
  <c r="R19" i="18"/>
  <c r="N19" i="18"/>
  <c r="J19" i="18"/>
  <c r="I19" i="18"/>
  <c r="H19" i="18"/>
  <c r="G19" i="18"/>
  <c r="F19" i="18"/>
  <c r="E19" i="18"/>
  <c r="D19" i="18"/>
  <c r="C19" i="18"/>
  <c r="V6" i="18"/>
  <c r="R6" i="18"/>
  <c r="N6" i="18"/>
  <c r="J6" i="18"/>
  <c r="I6" i="18"/>
  <c r="H6" i="18"/>
  <c r="G6" i="18"/>
  <c r="F6" i="18"/>
  <c r="E6" i="18"/>
  <c r="D6" i="18"/>
  <c r="C6" i="18"/>
  <c r="V20" i="18"/>
  <c r="R20" i="18"/>
  <c r="N20" i="18"/>
  <c r="J20" i="18"/>
  <c r="I20" i="18"/>
  <c r="H20" i="18"/>
  <c r="G20" i="18"/>
  <c r="F20" i="18"/>
  <c r="E20" i="18"/>
  <c r="D20" i="18"/>
  <c r="C20" i="18"/>
  <c r="V10" i="18"/>
  <c r="R10" i="18"/>
  <c r="N10" i="18"/>
  <c r="J10" i="18"/>
  <c r="I10" i="18"/>
  <c r="H10" i="18"/>
  <c r="G10" i="18"/>
  <c r="F10" i="18"/>
  <c r="E10" i="18"/>
  <c r="D10" i="18"/>
  <c r="C10" i="18"/>
  <c r="V8" i="18"/>
  <c r="R8" i="18"/>
  <c r="N8" i="18"/>
  <c r="J8" i="18"/>
  <c r="I8" i="18"/>
  <c r="H8" i="18"/>
  <c r="G8" i="18"/>
  <c r="F8" i="18"/>
  <c r="E8" i="18"/>
  <c r="D8" i="18"/>
  <c r="C8" i="18"/>
  <c r="V21" i="18"/>
  <c r="R21" i="18"/>
  <c r="N21" i="18"/>
  <c r="J21" i="18"/>
  <c r="I21" i="18"/>
  <c r="H21" i="18"/>
  <c r="G21" i="18"/>
  <c r="F21" i="18"/>
  <c r="E21" i="18"/>
  <c r="D21" i="18"/>
  <c r="C21" i="18"/>
  <c r="V23" i="18"/>
  <c r="R23" i="18"/>
  <c r="N23" i="18"/>
  <c r="J23" i="18"/>
  <c r="I23" i="18"/>
  <c r="H23" i="18"/>
  <c r="G23" i="18"/>
  <c r="F23" i="18"/>
  <c r="E23" i="18"/>
  <c r="D23" i="18"/>
  <c r="C23" i="18"/>
  <c r="O23" i="18" s="1"/>
  <c r="V11" i="18"/>
  <c r="R11" i="18"/>
  <c r="N11" i="18"/>
  <c r="J11" i="18"/>
  <c r="I11" i="18"/>
  <c r="H11" i="18"/>
  <c r="G11" i="18"/>
  <c r="F11" i="18"/>
  <c r="E11" i="18"/>
  <c r="D11" i="18"/>
  <c r="C11" i="18"/>
  <c r="V13" i="18"/>
  <c r="R13" i="18"/>
  <c r="N13" i="18"/>
  <c r="J13" i="18"/>
  <c r="I13" i="18"/>
  <c r="H13" i="18"/>
  <c r="G13" i="18"/>
  <c r="F13" i="18"/>
  <c r="E13" i="18"/>
  <c r="D13" i="18"/>
  <c r="C13" i="18"/>
  <c r="V17" i="18"/>
  <c r="R17" i="18"/>
  <c r="N17" i="18"/>
  <c r="J17" i="18"/>
  <c r="I17" i="18"/>
  <c r="H17" i="18"/>
  <c r="G17" i="18"/>
  <c r="F17" i="18"/>
  <c r="E17" i="18"/>
  <c r="D17" i="18"/>
  <c r="C17" i="18"/>
  <c r="O39" i="18" l="1"/>
  <c r="P51" i="18"/>
  <c r="O54" i="18"/>
  <c r="P56" i="18"/>
  <c r="O35" i="18"/>
  <c r="P59" i="18"/>
  <c r="O63" i="18"/>
  <c r="O34" i="18"/>
  <c r="T34" i="18" s="1"/>
  <c r="P41" i="18"/>
  <c r="O60" i="18"/>
  <c r="P34" i="18"/>
  <c r="P48" i="18"/>
  <c r="P39" i="18"/>
  <c r="P50" i="18"/>
  <c r="P52" i="18"/>
  <c r="P54" i="18"/>
  <c r="P38" i="18"/>
  <c r="O42" i="18"/>
  <c r="W42" i="18" s="1"/>
  <c r="X42" i="18" s="1"/>
  <c r="P63" i="18"/>
  <c r="O46" i="18"/>
  <c r="P40" i="18"/>
  <c r="P37" i="18"/>
  <c r="P57" i="18"/>
  <c r="P58" i="18"/>
  <c r="P60" i="18"/>
  <c r="P47" i="18"/>
  <c r="P46" i="18"/>
  <c r="O36" i="18"/>
  <c r="W36" i="18" s="1"/>
  <c r="X36" i="18" s="1"/>
  <c r="O45" i="18"/>
  <c r="P61" i="18"/>
  <c r="P42" i="18"/>
  <c r="P62" i="18"/>
  <c r="O62" i="18"/>
  <c r="O15" i="18"/>
  <c r="E67" i="18"/>
  <c r="F67" i="18"/>
  <c r="P21" i="18"/>
  <c r="P7" i="18"/>
  <c r="P9" i="18"/>
  <c r="P15" i="18"/>
  <c r="G67" i="18"/>
  <c r="P23" i="18"/>
  <c r="P27" i="18"/>
  <c r="P22" i="18"/>
  <c r="P18" i="18"/>
  <c r="H67" i="18"/>
  <c r="O20" i="18"/>
  <c r="O12" i="18"/>
  <c r="W12" i="18" s="1"/>
  <c r="X12" i="18" s="1"/>
  <c r="O30" i="18"/>
  <c r="U30" i="18" s="1"/>
  <c r="P31" i="18"/>
  <c r="O13" i="18"/>
  <c r="P24" i="18"/>
  <c r="I67" i="18"/>
  <c r="P10" i="18"/>
  <c r="P29" i="18"/>
  <c r="O11" i="18"/>
  <c r="U11" i="18" s="1"/>
  <c r="P8" i="18"/>
  <c r="P20" i="18"/>
  <c r="P4" i="18"/>
  <c r="P5" i="18"/>
  <c r="P12" i="18"/>
  <c r="P26" i="18"/>
  <c r="P16" i="18"/>
  <c r="P30" i="18"/>
  <c r="P3" i="18"/>
  <c r="J67" i="18"/>
  <c r="P19" i="18"/>
  <c r="P25" i="18"/>
  <c r="P17" i="18"/>
  <c r="P6" i="18"/>
  <c r="P28" i="18"/>
  <c r="P14" i="18"/>
  <c r="O32" i="18"/>
  <c r="T32" i="18" s="1"/>
  <c r="C67" i="18"/>
  <c r="W15" i="18"/>
  <c r="X15" i="18" s="1"/>
  <c r="W34" i="18"/>
  <c r="X34" i="18" s="1"/>
  <c r="W39" i="18"/>
  <c r="X39" i="18" s="1"/>
  <c r="W54" i="18"/>
  <c r="X54" i="18" s="1"/>
  <c r="T54" i="18"/>
  <c r="S54" i="18"/>
  <c r="W35" i="18"/>
  <c r="X35" i="18" s="1"/>
  <c r="W63" i="18"/>
  <c r="X63" i="18" s="1"/>
  <c r="T63" i="18"/>
  <c r="S63" i="18"/>
  <c r="W53" i="18"/>
  <c r="X53" i="18" s="1"/>
  <c r="W13" i="18"/>
  <c r="X13" i="18" s="1"/>
  <c r="S13" i="18"/>
  <c r="W60" i="18"/>
  <c r="X60" i="18" s="1"/>
  <c r="T60" i="18"/>
  <c r="W20" i="18"/>
  <c r="X20" i="18" s="1"/>
  <c r="U20" i="18"/>
  <c r="W43" i="18"/>
  <c r="X43" i="18" s="1"/>
  <c r="U43" i="18"/>
  <c r="T43" i="18"/>
  <c r="W46" i="18"/>
  <c r="X46" i="18" s="1"/>
  <c r="W23" i="18"/>
  <c r="X23" i="18" s="1"/>
  <c r="U23" i="18"/>
  <c r="W29" i="18"/>
  <c r="X29" i="18" s="1"/>
  <c r="W11" i="18"/>
  <c r="X11" i="18" s="1"/>
  <c r="W45" i="18"/>
  <c r="X45" i="18" s="1"/>
  <c r="W27" i="18"/>
  <c r="X27" i="18" s="1"/>
  <c r="W59" i="18"/>
  <c r="X59" i="18" s="1"/>
  <c r="U59" i="18"/>
  <c r="T59" i="18"/>
  <c r="W62" i="18"/>
  <c r="X62" i="18" s="1"/>
  <c r="U62" i="18"/>
  <c r="O26" i="18"/>
  <c r="P43" i="18"/>
  <c r="O10" i="18"/>
  <c r="O25" i="18"/>
  <c r="O24" i="18"/>
  <c r="T3" i="18"/>
  <c r="O41" i="18"/>
  <c r="O50" i="18"/>
  <c r="O38" i="18"/>
  <c r="P35" i="18"/>
  <c r="O19" i="18"/>
  <c r="O22" i="18"/>
  <c r="O18" i="18"/>
  <c r="U3" i="18"/>
  <c r="O48" i="18"/>
  <c r="O52" i="18"/>
  <c r="O57" i="18"/>
  <c r="P11" i="18"/>
  <c r="O8" i="18"/>
  <c r="O16" i="18"/>
  <c r="P13" i="18"/>
  <c r="O21" i="18"/>
  <c r="O7" i="18"/>
  <c r="O9" i="18"/>
  <c r="O31" i="18"/>
  <c r="O40" i="18"/>
  <c r="O37" i="18"/>
  <c r="O58" i="18"/>
  <c r="S64" i="18"/>
  <c r="S66" i="18"/>
  <c r="S53" i="18" s="1"/>
  <c r="O44" i="18"/>
  <c r="W3" i="18"/>
  <c r="X3" i="18" s="1"/>
  <c r="O61" i="18"/>
  <c r="T64" i="18"/>
  <c r="T66" i="18"/>
  <c r="T12" i="18" s="1"/>
  <c r="U64" i="18"/>
  <c r="U66" i="18"/>
  <c r="U42" i="18" s="1"/>
  <c r="O49" i="18"/>
  <c r="P53" i="18"/>
  <c r="O55" i="18"/>
  <c r="O5" i="18"/>
  <c r="O17" i="18"/>
  <c r="O6" i="18"/>
  <c r="O28" i="18"/>
  <c r="O14" i="18"/>
  <c r="P32" i="18"/>
  <c r="O47" i="18"/>
  <c r="O51" i="18"/>
  <c r="O56" i="18"/>
  <c r="S65" i="18"/>
  <c r="D67" i="18"/>
  <c r="D70" i="18"/>
  <c r="O4" i="18"/>
  <c r="S48" i="5"/>
  <c r="E34" i="5"/>
  <c r="C39" i="39"/>
  <c r="I39" i="41"/>
  <c r="I50" i="42"/>
  <c r="F50" i="42"/>
  <c r="F50" i="41"/>
  <c r="P48" i="5"/>
  <c r="Y43" i="18"/>
  <c r="S34" i="18" l="1"/>
  <c r="W30" i="18"/>
  <c r="X30" i="18" s="1"/>
  <c r="W32" i="18"/>
  <c r="X32" i="18" s="1"/>
  <c r="T11" i="18"/>
  <c r="Y11" i="18"/>
  <c r="Y35" i="18"/>
  <c r="Y30" i="18"/>
  <c r="Y46" i="18"/>
  <c r="Y36" i="18"/>
  <c r="Y4" i="18"/>
  <c r="Y23" i="18"/>
  <c r="Y27" i="18"/>
  <c r="Y15" i="18"/>
  <c r="Y29" i="18"/>
  <c r="Y39" i="18"/>
  <c r="Y54" i="18"/>
  <c r="Y63" i="18"/>
  <c r="Y10" i="18"/>
  <c r="Y25" i="18"/>
  <c r="Y24" i="18"/>
  <c r="Y41" i="18"/>
  <c r="Y50" i="18"/>
  <c r="Y38" i="18"/>
  <c r="Y60" i="18"/>
  <c r="Y18" i="18"/>
  <c r="Y19" i="18"/>
  <c r="Y22" i="18"/>
  <c r="Y48" i="18"/>
  <c r="Y52" i="18"/>
  <c r="Y57" i="18"/>
  <c r="Y42" i="18"/>
  <c r="Y26" i="18"/>
  <c r="Y3" i="18"/>
  <c r="Y21" i="18"/>
  <c r="Y9" i="18"/>
  <c r="Y12" i="18"/>
  <c r="Y7" i="18"/>
  <c r="Y20" i="18"/>
  <c r="Y31" i="18"/>
  <c r="Y40" i="18"/>
  <c r="Y37" i="18"/>
  <c r="Y58" i="18"/>
  <c r="Y62" i="18"/>
  <c r="Y61" i="18"/>
  <c r="Y44" i="18"/>
  <c r="Y45" i="18"/>
  <c r="Y16" i="18"/>
  <c r="Y8" i="18"/>
  <c r="Y5" i="18"/>
  <c r="Y49" i="18"/>
  <c r="Y55" i="18"/>
  <c r="Y59" i="18"/>
  <c r="Y28" i="18"/>
  <c r="Y17" i="18"/>
  <c r="Y6" i="18"/>
  <c r="Y14" i="18"/>
  <c r="Y47" i="18"/>
  <c r="Y51" i="18"/>
  <c r="Y56" i="18"/>
  <c r="Y34" i="18"/>
  <c r="Y32" i="18"/>
  <c r="Y13" i="18"/>
  <c r="U49" i="18" l="1"/>
  <c r="W49" i="18"/>
  <c r="X49" i="18" s="1"/>
  <c r="T49" i="18"/>
  <c r="S49" i="18"/>
  <c r="S23" i="18"/>
  <c r="S4" i="18"/>
  <c r="W4" i="18"/>
  <c r="X4" i="18" s="1"/>
  <c r="U4" i="18"/>
  <c r="T4" i="18"/>
  <c r="U14" i="18"/>
  <c r="T14" i="18"/>
  <c r="S14" i="18"/>
  <c r="W14" i="18"/>
  <c r="X14" i="18" s="1"/>
  <c r="T18" i="18"/>
  <c r="U18" i="18"/>
  <c r="W18" i="18"/>
  <c r="X18" i="18" s="1"/>
  <c r="S18" i="18"/>
  <c r="W24" i="18"/>
  <c r="X24" i="18" s="1"/>
  <c r="S24" i="18"/>
  <c r="T24" i="18"/>
  <c r="U24" i="18"/>
  <c r="S62" i="18"/>
  <c r="T45" i="18"/>
  <c r="T23" i="18"/>
  <c r="S30" i="18"/>
  <c r="S20" i="18"/>
  <c r="T13" i="18"/>
  <c r="U63" i="18"/>
  <c r="U54" i="18"/>
  <c r="U34" i="18"/>
  <c r="S44" i="18"/>
  <c r="W44" i="18"/>
  <c r="X44" i="18" s="1"/>
  <c r="U44" i="18"/>
  <c r="T44" i="18"/>
  <c r="U21" i="18"/>
  <c r="T21" i="18"/>
  <c r="S21" i="18"/>
  <c r="W21" i="18"/>
  <c r="X21" i="18" s="1"/>
  <c r="S45" i="18"/>
  <c r="U28" i="18"/>
  <c r="T28" i="18"/>
  <c r="W28" i="18"/>
  <c r="X28" i="18" s="1"/>
  <c r="S28" i="18"/>
  <c r="U58" i="18"/>
  <c r="T58" i="18"/>
  <c r="S58" i="18"/>
  <c r="W58" i="18"/>
  <c r="X58" i="18" s="1"/>
  <c r="W16" i="18"/>
  <c r="X16" i="18" s="1"/>
  <c r="U16" i="18"/>
  <c r="T16" i="18"/>
  <c r="S16" i="18"/>
  <c r="U22" i="18"/>
  <c r="S22" i="18"/>
  <c r="T22" i="18"/>
  <c r="W22" i="18"/>
  <c r="X22" i="18" s="1"/>
  <c r="W25" i="18"/>
  <c r="X25" i="18" s="1"/>
  <c r="T25" i="18"/>
  <c r="U25" i="18"/>
  <c r="S25" i="18"/>
  <c r="S32" i="18"/>
  <c r="S27" i="18"/>
  <c r="U36" i="18"/>
  <c r="S11" i="18"/>
  <c r="S43" i="18"/>
  <c r="T30" i="18"/>
  <c r="T20" i="18"/>
  <c r="U13" i="18"/>
  <c r="W47" i="18"/>
  <c r="X47" i="18" s="1"/>
  <c r="U47" i="18"/>
  <c r="T47" i="18"/>
  <c r="S47" i="18"/>
  <c r="W41" i="18"/>
  <c r="X41" i="18" s="1"/>
  <c r="S41" i="18"/>
  <c r="U41" i="18"/>
  <c r="T41" i="18"/>
  <c r="U6" i="18"/>
  <c r="T6" i="18"/>
  <c r="S6" i="18"/>
  <c r="W6" i="18"/>
  <c r="X6" i="18" s="1"/>
  <c r="U37" i="18"/>
  <c r="T37" i="18"/>
  <c r="S37" i="18"/>
  <c r="W37" i="18"/>
  <c r="X37" i="18" s="1"/>
  <c r="W8" i="18"/>
  <c r="X8" i="18" s="1"/>
  <c r="U8" i="18"/>
  <c r="T8" i="18"/>
  <c r="S8" i="18"/>
  <c r="U19" i="18"/>
  <c r="T19" i="18"/>
  <c r="W19" i="18"/>
  <c r="X19" i="18" s="1"/>
  <c r="S19" i="18"/>
  <c r="W10" i="18"/>
  <c r="X10" i="18" s="1"/>
  <c r="U10" i="18"/>
  <c r="S10" i="18"/>
  <c r="T10" i="18"/>
  <c r="T27" i="18"/>
  <c r="U29" i="18"/>
  <c r="U46" i="18"/>
  <c r="U12" i="18"/>
  <c r="S60" i="18"/>
  <c r="T53" i="18"/>
  <c r="U35" i="18"/>
  <c r="S39" i="18"/>
  <c r="U15" i="18"/>
  <c r="U53" i="18"/>
  <c r="S35" i="18"/>
  <c r="T39" i="18"/>
  <c r="S15" i="18"/>
  <c r="U48" i="18"/>
  <c r="T48" i="18"/>
  <c r="S48" i="18"/>
  <c r="W48" i="18"/>
  <c r="X48" i="18" s="1"/>
  <c r="U17" i="18"/>
  <c r="T17" i="18"/>
  <c r="S17" i="18"/>
  <c r="W17" i="18"/>
  <c r="X17" i="18" s="1"/>
  <c r="U40" i="18"/>
  <c r="T40" i="18"/>
  <c r="S40" i="18"/>
  <c r="W40" i="18"/>
  <c r="X40" i="18" s="1"/>
  <c r="S36" i="18"/>
  <c r="S29" i="18"/>
  <c r="S42" i="18"/>
  <c r="W56" i="18"/>
  <c r="X56" i="18" s="1"/>
  <c r="U56" i="18"/>
  <c r="T56" i="18"/>
  <c r="S56" i="18"/>
  <c r="W5" i="18"/>
  <c r="X5" i="18" s="1"/>
  <c r="U5" i="18"/>
  <c r="T5" i="18"/>
  <c r="S5" i="18"/>
  <c r="T61" i="18"/>
  <c r="S61" i="18"/>
  <c r="W61" i="18"/>
  <c r="X61" i="18" s="1"/>
  <c r="U61" i="18"/>
  <c r="U31" i="18"/>
  <c r="T31" i="18"/>
  <c r="S31" i="18"/>
  <c r="W31" i="18"/>
  <c r="X31" i="18" s="1"/>
  <c r="U57" i="18"/>
  <c r="T57" i="18"/>
  <c r="S57" i="18"/>
  <c r="W57" i="18"/>
  <c r="X57" i="18" s="1"/>
  <c r="W38" i="18"/>
  <c r="X38" i="18" s="1"/>
  <c r="U38" i="18"/>
  <c r="S38" i="18"/>
  <c r="T38" i="18"/>
  <c r="S26" i="18"/>
  <c r="W26" i="18"/>
  <c r="X26" i="18" s="1"/>
  <c r="U26" i="18"/>
  <c r="T26" i="18"/>
  <c r="U32" i="18"/>
  <c r="U27" i="18"/>
  <c r="T36" i="18"/>
  <c r="T29" i="18"/>
  <c r="S46" i="18"/>
  <c r="T42" i="18"/>
  <c r="S12" i="18"/>
  <c r="U60" i="18"/>
  <c r="T35" i="18"/>
  <c r="U39" i="18"/>
  <c r="T15" i="18"/>
  <c r="U7" i="18"/>
  <c r="S7" i="18"/>
  <c r="T7" i="18"/>
  <c r="W7" i="18"/>
  <c r="X7" i="18" s="1"/>
  <c r="W51" i="18"/>
  <c r="X51" i="18" s="1"/>
  <c r="U51" i="18"/>
  <c r="T51" i="18"/>
  <c r="S51" i="18"/>
  <c r="U55" i="18"/>
  <c r="T55" i="18"/>
  <c r="W55" i="18"/>
  <c r="X55" i="18" s="1"/>
  <c r="S55" i="18"/>
  <c r="U9" i="18"/>
  <c r="T9" i="18"/>
  <c r="W9" i="18"/>
  <c r="X9" i="18" s="1"/>
  <c r="S9" i="18"/>
  <c r="U52" i="18"/>
  <c r="T52" i="18"/>
  <c r="S52" i="18"/>
  <c r="W52" i="18"/>
  <c r="X52" i="18" s="1"/>
  <c r="W50" i="18"/>
  <c r="X50" i="18" s="1"/>
  <c r="T50" i="18"/>
  <c r="U50" i="18"/>
  <c r="S50" i="18"/>
  <c r="T62" i="18"/>
  <c r="S59" i="18"/>
  <c r="U45" i="18"/>
  <c r="S3" i="18"/>
  <c r="T46" i="18"/>
  <c r="S50" i="5"/>
  <c r="J28" i="41"/>
  <c r="K24" i="42"/>
  <c r="J48" i="41"/>
  <c r="Y53" i="18"/>
  <c r="D43" i="39" l="1"/>
  <c r="D69" i="6" l="1"/>
  <c r="D70" i="6"/>
  <c r="D71" i="6"/>
  <c r="K27" i="41"/>
  <c r="I18" i="42"/>
  <c r="I28" i="42" l="1"/>
  <c r="J18" i="41"/>
  <c r="G55" i="42"/>
  <c r="I4" i="42"/>
  <c r="F9" i="41"/>
  <c r="K9" i="41"/>
  <c r="J30" i="41" l="1"/>
  <c r="I3" i="41" l="1"/>
  <c r="S3" i="36"/>
  <c r="D23" i="39"/>
  <c r="G23" i="42"/>
  <c r="K23" i="41"/>
  <c r="G9" i="42"/>
  <c r="D30" i="39"/>
  <c r="I30" i="41"/>
  <c r="E30" i="42"/>
  <c r="I30" i="42"/>
  <c r="I4" i="41"/>
  <c r="E4" i="42"/>
  <c r="E48" i="42"/>
  <c r="I48" i="42"/>
  <c r="I60" i="41"/>
  <c r="I43" i="42"/>
  <c r="D55" i="39"/>
  <c r="H18" i="41" l="1"/>
  <c r="E16" i="42" l="1"/>
  <c r="G16" i="42"/>
  <c r="J8" i="42"/>
  <c r="U9" i="5"/>
  <c r="J9" i="41"/>
  <c r="E15" i="42"/>
  <c r="I5" i="42"/>
  <c r="J5" i="41"/>
  <c r="I60" i="42"/>
  <c r="C48" i="39"/>
  <c r="C3" i="39"/>
  <c r="E27" i="39" l="1"/>
  <c r="D27" i="39"/>
  <c r="E13" i="42"/>
  <c r="I13" i="42"/>
  <c r="E55" i="40"/>
  <c r="T55" i="36"/>
  <c r="S55" i="36"/>
  <c r="E55" i="42"/>
  <c r="N34" i="36"/>
  <c r="M34" i="36"/>
  <c r="L34" i="36"/>
  <c r="L55" i="36"/>
  <c r="E7" i="40" l="1"/>
  <c r="E18" i="39"/>
  <c r="D18" i="39"/>
  <c r="F18" i="40"/>
  <c r="E18" i="40"/>
  <c r="I16" i="41"/>
  <c r="I10" i="36"/>
  <c r="S10" i="36"/>
  <c r="D10" i="36"/>
  <c r="C10" i="36"/>
  <c r="F10" i="5"/>
  <c r="F17" i="5"/>
  <c r="F15" i="41"/>
  <c r="F9" i="42"/>
  <c r="I48" i="41"/>
  <c r="G11" i="42"/>
  <c r="E8" i="42"/>
  <c r="K8" i="41"/>
  <c r="E50" i="40"/>
  <c r="D50" i="39"/>
  <c r="C4" i="39"/>
  <c r="I8" i="41"/>
  <c r="E23" i="42"/>
  <c r="I5" i="41"/>
  <c r="E27" i="42"/>
  <c r="F43" i="42"/>
  <c r="G39" i="40"/>
  <c r="I55" i="41" l="1"/>
  <c r="I27" i="41" l="1"/>
  <c r="C9" i="39" l="1"/>
  <c r="Q9" i="5"/>
  <c r="E15" i="40"/>
  <c r="I11" i="41"/>
  <c r="E12" i="40"/>
  <c r="J13" i="41"/>
  <c r="F13" i="41"/>
  <c r="F60" i="40"/>
  <c r="E60" i="40"/>
  <c r="D16" i="39"/>
  <c r="F24" i="41"/>
  <c r="I23" i="41" l="1"/>
  <c r="F20" i="38"/>
  <c r="F43" i="41"/>
  <c r="E21" i="5" l="1"/>
  <c r="F28" i="38"/>
  <c r="F4" i="38"/>
  <c r="F55" i="38"/>
  <c r="F40" i="41"/>
  <c r="E3" i="40"/>
  <c r="D48" i="40"/>
  <c r="E11" i="40" l="1"/>
  <c r="F15" i="40"/>
  <c r="F13" i="40"/>
  <c r="E13" i="40"/>
  <c r="E27" i="40"/>
  <c r="E4" i="40"/>
  <c r="J43" i="36" l="1"/>
  <c r="E30" i="40" l="1"/>
  <c r="E28" i="40"/>
  <c r="F8" i="38"/>
  <c r="E23" i="40"/>
  <c r="F16" i="40"/>
  <c r="E16" i="40"/>
  <c r="F9" i="40"/>
  <c r="E9" i="40"/>
  <c r="E10" i="40"/>
  <c r="F30" i="38"/>
  <c r="G7" i="36"/>
  <c r="C15" i="39"/>
  <c r="E8" i="40"/>
  <c r="F3" i="38"/>
  <c r="F5" i="40"/>
  <c r="E5" i="40"/>
  <c r="S4" i="36"/>
  <c r="I4" i="36"/>
  <c r="D4" i="36"/>
  <c r="C4" i="36"/>
  <c r="N4" i="5"/>
  <c r="E50" i="38"/>
  <c r="P34" i="5"/>
  <c r="M38" i="5"/>
  <c r="D43" i="40"/>
  <c r="C5" i="39"/>
  <c r="F11" i="40"/>
  <c r="F23" i="40"/>
  <c r="F55" i="40" l="1"/>
  <c r="F4" i="5"/>
  <c r="N9" i="36" l="1"/>
  <c r="M9" i="36"/>
  <c r="L9" i="36"/>
  <c r="C8" i="39"/>
  <c r="F24" i="40"/>
  <c r="E24" i="40"/>
  <c r="C24" i="39"/>
  <c r="F39" i="38"/>
  <c r="O40" i="5"/>
  <c r="J40" i="5"/>
  <c r="R43" i="36"/>
  <c r="Q43" i="36"/>
  <c r="H43" i="36"/>
  <c r="I48" i="36"/>
  <c r="K48" i="36"/>
  <c r="J48" i="36"/>
  <c r="O48" i="36"/>
  <c r="E48" i="38"/>
  <c r="D48" i="38"/>
  <c r="C48" i="38"/>
  <c r="F13" i="38" l="1"/>
  <c r="F23" i="38"/>
  <c r="E11" i="39"/>
  <c r="D11" i="39"/>
  <c r="P61" i="5"/>
  <c r="F61" i="5"/>
  <c r="T60" i="36" l="1"/>
  <c r="T39" i="36"/>
  <c r="T13" i="36"/>
  <c r="T29" i="36"/>
  <c r="E29" i="41" l="1"/>
  <c r="C29" i="40"/>
  <c r="F29" i="38"/>
  <c r="G29" i="38"/>
  <c r="H29" i="38"/>
  <c r="C29" i="39"/>
  <c r="C60" i="39" l="1"/>
  <c r="S7" i="36"/>
  <c r="C30" i="36"/>
  <c r="S30" i="36"/>
  <c r="F9" i="38"/>
  <c r="F10" i="38"/>
  <c r="F20" i="5"/>
  <c r="I55" i="36"/>
  <c r="C55" i="36"/>
  <c r="M15" i="36"/>
  <c r="L15" i="36"/>
  <c r="F16" i="38"/>
  <c r="S50" i="36"/>
  <c r="I50" i="36"/>
  <c r="C50" i="36"/>
  <c r="D50" i="36"/>
  <c r="S13" i="36"/>
  <c r="F27" i="38"/>
  <c r="F15" i="38"/>
  <c r="C13" i="39"/>
  <c r="L16" i="36" l="1"/>
  <c r="S16" i="36"/>
  <c r="P25" i="5"/>
  <c r="F60" i="38"/>
  <c r="F12" i="38"/>
  <c r="S28" i="36"/>
  <c r="S9" i="36"/>
  <c r="F24" i="38"/>
  <c r="S5" i="36"/>
  <c r="L5" i="36"/>
  <c r="S8" i="36"/>
  <c r="G8" i="36"/>
  <c r="D8" i="36"/>
  <c r="C8" i="36"/>
  <c r="I11" i="38"/>
  <c r="O50" i="5"/>
  <c r="M50" i="5"/>
  <c r="E43" i="38"/>
  <c r="D43" i="38"/>
  <c r="C43" i="38"/>
  <c r="G16" i="36"/>
  <c r="L13" i="36"/>
  <c r="S27" i="36"/>
  <c r="I23" i="36"/>
  <c r="D55" i="36"/>
  <c r="I13" i="36"/>
  <c r="F7" i="36" l="1"/>
  <c r="E7" i="36"/>
  <c r="M7" i="5"/>
  <c r="F18" i="38"/>
  <c r="S18" i="36"/>
  <c r="L18" i="36"/>
  <c r="D18" i="36"/>
  <c r="C18" i="36"/>
  <c r="S12" i="36"/>
  <c r="D24" i="38"/>
  <c r="C24" i="38"/>
  <c r="D24" i="36"/>
  <c r="Q24" i="36"/>
  <c r="K24" i="36"/>
  <c r="J24" i="36"/>
  <c r="G24" i="36"/>
  <c r="I9" i="36"/>
  <c r="D9" i="36"/>
  <c r="C9" i="36"/>
  <c r="F5" i="38"/>
  <c r="S60" i="36"/>
  <c r="K60" i="36"/>
  <c r="J60" i="36"/>
  <c r="H60" i="36"/>
  <c r="C60" i="36"/>
  <c r="N3" i="36"/>
  <c r="M3" i="36"/>
  <c r="L3" i="36"/>
  <c r="I3" i="36"/>
  <c r="C3" i="36"/>
  <c r="D38" i="5"/>
  <c r="D48" i="36"/>
  <c r="C48" i="36"/>
  <c r="D43" i="36"/>
  <c r="C43" i="36"/>
  <c r="S23" i="36" l="1"/>
  <c r="D30" i="36"/>
  <c r="C13" i="36"/>
  <c r="L12" i="36"/>
  <c r="I28" i="36"/>
  <c r="D28" i="36"/>
  <c r="C28" i="36"/>
  <c r="S15" i="36"/>
  <c r="I15" i="36"/>
  <c r="D15" i="36"/>
  <c r="C15" i="36"/>
  <c r="D23" i="36"/>
  <c r="C23" i="36"/>
  <c r="C16" i="36"/>
  <c r="D3" i="36"/>
  <c r="D50" i="5"/>
  <c r="I27" i="36" l="1"/>
  <c r="D27" i="36"/>
  <c r="C27" i="36"/>
  <c r="G30" i="36"/>
  <c r="G5" i="36"/>
  <c r="F11" i="38"/>
  <c r="D60" i="36" l="1"/>
  <c r="C24" i="36" l="1"/>
  <c r="D16" i="36"/>
  <c r="K35" i="1" l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4" i="1"/>
  <c r="K3" i="1"/>
  <c r="N40" i="1"/>
  <c r="N36" i="1"/>
  <c r="N25" i="1"/>
  <c r="N15" i="1"/>
  <c r="N10" i="1"/>
  <c r="N59" i="1"/>
  <c r="N11" i="1"/>
  <c r="N20" i="1"/>
  <c r="N26" i="1"/>
  <c r="N14" i="1"/>
  <c r="N16" i="1"/>
  <c r="N37" i="1"/>
  <c r="N58" i="1"/>
  <c r="N47" i="1"/>
  <c r="N9" i="1"/>
  <c r="N27" i="1"/>
  <c r="N50" i="1"/>
  <c r="BF3" i="27"/>
  <c r="N53" i="1"/>
  <c r="N39" i="1"/>
  <c r="N54" i="1"/>
  <c r="N19" i="1"/>
  <c r="N45" i="1"/>
  <c r="N22" i="1"/>
  <c r="N56" i="1"/>
  <c r="N55" i="1"/>
  <c r="BG3" i="27"/>
  <c r="N3" i="1"/>
  <c r="N32" i="1"/>
  <c r="N29" i="1"/>
  <c r="N12" i="1"/>
  <c r="N52" i="1"/>
  <c r="N60" i="1"/>
  <c r="N18" i="1"/>
  <c r="N23" i="1"/>
  <c r="N21" i="1"/>
  <c r="N62" i="1"/>
  <c r="N49" i="1"/>
  <c r="N51" i="1"/>
  <c r="N30" i="1"/>
  <c r="N31" i="1"/>
  <c r="N28" i="1"/>
  <c r="N8" i="1"/>
  <c r="N57" i="1"/>
  <c r="N35" i="1"/>
  <c r="N41" i="1"/>
  <c r="N44" i="1"/>
  <c r="N17" i="1"/>
  <c r="N24" i="1"/>
  <c r="N61" i="1"/>
  <c r="N42" i="1"/>
  <c r="N38" i="1"/>
  <c r="N13" i="1"/>
  <c r="N6" i="1"/>
  <c r="N7" i="1"/>
  <c r="N46" i="1"/>
  <c r="N48" i="1"/>
  <c r="N4" i="1"/>
  <c r="N5" i="1"/>
  <c r="N63" i="1"/>
  <c r="N43" i="1"/>
  <c r="C8" i="6" l="1"/>
  <c r="C10" i="6"/>
  <c r="C9" i="6"/>
  <c r="C7" i="6"/>
  <c r="C6" i="6"/>
  <c r="C4" i="6"/>
  <c r="D11" i="36"/>
  <c r="C11" i="36"/>
  <c r="D12" i="36" l="1"/>
  <c r="C12" i="36"/>
  <c r="P28" i="5"/>
  <c r="O8" i="5"/>
  <c r="M8" i="5"/>
  <c r="P9" i="5"/>
  <c r="P3" i="5"/>
  <c r="P16" i="5"/>
  <c r="J43" i="5"/>
  <c r="D40" i="5"/>
  <c r="M48" i="5"/>
  <c r="E48" i="5"/>
  <c r="K39" i="36"/>
  <c r="J39" i="36"/>
  <c r="P27" i="5"/>
  <c r="F28" i="5"/>
  <c r="P13" i="5"/>
  <c r="R29" i="36"/>
  <c r="Q29" i="36"/>
  <c r="M29" i="36"/>
  <c r="L29" i="36"/>
  <c r="S29" i="36"/>
  <c r="J29" i="36"/>
  <c r="K29" i="36"/>
  <c r="F29" i="36"/>
  <c r="N27" i="5" l="1"/>
  <c r="O5" i="5"/>
  <c r="L11" i="36" l="1"/>
  <c r="U13" i="5"/>
  <c r="D51" i="5" l="1"/>
  <c r="N16" i="5" l="1"/>
  <c r="S18" i="5"/>
  <c r="P30" i="5"/>
  <c r="M3" i="5"/>
  <c r="P24" i="5"/>
  <c r="M15" i="5"/>
  <c r="S15" i="5"/>
  <c r="F15" i="5"/>
  <c r="I11" i="36"/>
  <c r="U60" i="5"/>
  <c r="P60" i="5"/>
  <c r="H39" i="36"/>
  <c r="M11" i="36"/>
  <c r="F13" i="5"/>
  <c r="P23" i="5"/>
  <c r="S11" i="36"/>
  <c r="R13" i="5"/>
  <c r="F24" i="5"/>
  <c r="E24" i="5"/>
  <c r="F55" i="5"/>
  <c r="D54" i="5" l="1"/>
  <c r="E25" i="5"/>
  <c r="M24" i="5"/>
  <c r="P12" i="5"/>
  <c r="E12" i="5"/>
  <c r="M60" i="5"/>
  <c r="D60" i="5"/>
  <c r="M9" i="5"/>
  <c r="E9" i="5"/>
  <c r="F23" i="5" l="1"/>
  <c r="J13" i="5" l="1"/>
  <c r="Q11" i="5"/>
  <c r="S29" i="5" l="1"/>
  <c r="V29" i="5"/>
  <c r="Q29" i="5"/>
  <c r="O29" i="5"/>
  <c r="E29" i="5"/>
  <c r="U11" i="5" l="1"/>
  <c r="I43" i="5"/>
  <c r="M5" i="5" l="1"/>
  <c r="E7" i="5"/>
  <c r="P18" i="5"/>
  <c r="M18" i="5"/>
  <c r="E18" i="5"/>
  <c r="F16" i="5"/>
  <c r="M12" i="5"/>
  <c r="N6" i="5"/>
  <c r="P15" i="5"/>
  <c r="E8" i="5"/>
  <c r="D3" i="5"/>
  <c r="F30" i="5" l="1"/>
  <c r="D43" i="5"/>
  <c r="I39" i="5"/>
  <c r="E5" i="5" l="1"/>
  <c r="N11" i="5" l="1"/>
  <c r="D39" i="5"/>
  <c r="P11" i="5" l="1"/>
  <c r="F27" i="5"/>
  <c r="Z13" i="5"/>
  <c r="F11" i="5"/>
  <c r="Z8" i="5"/>
  <c r="Z12" i="5"/>
  <c r="C3" i="6"/>
  <c r="BJ3" i="27"/>
  <c r="BJ4" i="27"/>
  <c r="BJ6" i="27"/>
  <c r="BJ7" i="27"/>
  <c r="BJ9" i="27"/>
  <c r="BJ10" i="27"/>
  <c r="BJ8" i="27"/>
  <c r="BJ11" i="27"/>
  <c r="BJ12" i="27"/>
  <c r="BJ13" i="27"/>
  <c r="BJ14" i="27"/>
  <c r="BJ15" i="27"/>
  <c r="BJ16" i="27"/>
  <c r="BJ17" i="27"/>
  <c r="BJ18" i="27"/>
  <c r="BJ19" i="27"/>
  <c r="BJ20" i="27"/>
  <c r="BJ21" i="27"/>
  <c r="BJ22" i="27"/>
  <c r="BJ23" i="27"/>
  <c r="BJ24" i="27"/>
  <c r="BJ25" i="27"/>
  <c r="BJ26" i="27"/>
  <c r="BJ27" i="27"/>
  <c r="BJ28" i="27"/>
  <c r="BJ29" i="27"/>
  <c r="BJ30" i="27"/>
  <c r="BJ31" i="27"/>
  <c r="BJ32" i="27"/>
  <c r="O3" i="42"/>
  <c r="O4" i="42"/>
  <c r="O6" i="42"/>
  <c r="O7" i="42"/>
  <c r="O9" i="42"/>
  <c r="O10" i="42"/>
  <c r="O8" i="42"/>
  <c r="O11" i="42"/>
  <c r="O12" i="42"/>
  <c r="O13" i="42"/>
  <c r="O14" i="42"/>
  <c r="O15" i="42"/>
  <c r="O16" i="42"/>
  <c r="O17" i="42"/>
  <c r="O18" i="42"/>
  <c r="O19" i="42"/>
  <c r="O20" i="42"/>
  <c r="O21" i="42"/>
  <c r="O22" i="42"/>
  <c r="O23" i="42"/>
  <c r="O24" i="42"/>
  <c r="O25" i="42"/>
  <c r="O26" i="42"/>
  <c r="O27" i="42"/>
  <c r="O28" i="42"/>
  <c r="O29" i="42"/>
  <c r="O30" i="42"/>
  <c r="O31" i="42"/>
  <c r="O32" i="42"/>
  <c r="N3" i="41"/>
  <c r="N4" i="41"/>
  <c r="N6" i="41"/>
  <c r="N7" i="41"/>
  <c r="N9" i="41"/>
  <c r="N10" i="41"/>
  <c r="N8" i="41"/>
  <c r="N11" i="41"/>
  <c r="N12" i="41"/>
  <c r="N13" i="41"/>
  <c r="N14" i="41"/>
  <c r="N15" i="41"/>
  <c r="N16" i="41"/>
  <c r="N17" i="41"/>
  <c r="N18" i="41"/>
  <c r="N19" i="41"/>
  <c r="N20" i="41"/>
  <c r="N21" i="41"/>
  <c r="N22" i="41"/>
  <c r="N23" i="41"/>
  <c r="N24" i="41"/>
  <c r="N25" i="41"/>
  <c r="N26" i="41"/>
  <c r="N27" i="41"/>
  <c r="N28" i="41"/>
  <c r="N29" i="41"/>
  <c r="N30" i="41"/>
  <c r="N31" i="41"/>
  <c r="N32" i="41"/>
  <c r="R3" i="40"/>
  <c r="R4" i="40"/>
  <c r="R6" i="40"/>
  <c r="R7" i="40"/>
  <c r="R9" i="40"/>
  <c r="R10" i="40"/>
  <c r="R8" i="40"/>
  <c r="R11" i="40"/>
  <c r="R12" i="40"/>
  <c r="R13" i="40"/>
  <c r="R14" i="40"/>
  <c r="R15" i="40"/>
  <c r="R16" i="40"/>
  <c r="R17" i="40"/>
  <c r="R18" i="40"/>
  <c r="R19" i="40"/>
  <c r="R20" i="40"/>
  <c r="R21" i="40"/>
  <c r="R22" i="40"/>
  <c r="R23" i="40"/>
  <c r="R24" i="40"/>
  <c r="R25" i="40"/>
  <c r="R26" i="40"/>
  <c r="R27" i="40"/>
  <c r="R28" i="40"/>
  <c r="R29" i="40"/>
  <c r="R30" i="40"/>
  <c r="R31" i="40"/>
  <c r="R32" i="40"/>
  <c r="H3" i="39"/>
  <c r="H4" i="39"/>
  <c r="H6" i="39"/>
  <c r="H7" i="39"/>
  <c r="H9" i="39"/>
  <c r="H10" i="39"/>
  <c r="H8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N3" i="38"/>
  <c r="N4" i="38"/>
  <c r="N6" i="38"/>
  <c r="N7" i="38"/>
  <c r="N9" i="38"/>
  <c r="N10" i="38"/>
  <c r="N8" i="38"/>
  <c r="N11" i="38"/>
  <c r="N12" i="38"/>
  <c r="N13" i="38"/>
  <c r="N14" i="38"/>
  <c r="N15" i="38"/>
  <c r="N16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N31" i="38"/>
  <c r="N32" i="38"/>
  <c r="Y3" i="36"/>
  <c r="Y4" i="36"/>
  <c r="Y6" i="36"/>
  <c r="Y7" i="36"/>
  <c r="Y9" i="36"/>
  <c r="Y10" i="36"/>
  <c r="Y8" i="36"/>
  <c r="Y11" i="36"/>
  <c r="Y12" i="36"/>
  <c r="Y13" i="36"/>
  <c r="Y14" i="36"/>
  <c r="Y15" i="36"/>
  <c r="Y16" i="36"/>
  <c r="Y17" i="36"/>
  <c r="Y18" i="36"/>
  <c r="Y19" i="36"/>
  <c r="Y20" i="36"/>
  <c r="Y21" i="36"/>
  <c r="Y22" i="36"/>
  <c r="Y23" i="36"/>
  <c r="Y24" i="36"/>
  <c r="Y25" i="36"/>
  <c r="Y26" i="36"/>
  <c r="Y27" i="36"/>
  <c r="Y28" i="36"/>
  <c r="Y29" i="36"/>
  <c r="Y30" i="36"/>
  <c r="Y31" i="36"/>
  <c r="Y32" i="36"/>
  <c r="Z3" i="5"/>
  <c r="Z4" i="5"/>
  <c r="Z6" i="5"/>
  <c r="Z7" i="5"/>
  <c r="Z9" i="5"/>
  <c r="Z10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Y35" i="36"/>
  <c r="Y36" i="36"/>
  <c r="Y37" i="36"/>
  <c r="Y38" i="36"/>
  <c r="Y39" i="36"/>
  <c r="Y40" i="36"/>
  <c r="Y41" i="36"/>
  <c r="Y42" i="36"/>
  <c r="Y43" i="36"/>
  <c r="Y44" i="36"/>
  <c r="Y45" i="36"/>
  <c r="Y46" i="36"/>
  <c r="Y47" i="36"/>
  <c r="Y48" i="36"/>
  <c r="Y49" i="36"/>
  <c r="Y50" i="36"/>
  <c r="Y51" i="36"/>
  <c r="Y52" i="36"/>
  <c r="Y53" i="36"/>
  <c r="Y54" i="36"/>
  <c r="Y55" i="36"/>
  <c r="Y56" i="36"/>
  <c r="Y57" i="36"/>
  <c r="Y58" i="36"/>
  <c r="Y59" i="36"/>
  <c r="Y60" i="36"/>
  <c r="Y61" i="36"/>
  <c r="Y62" i="36"/>
  <c r="Y63" i="36"/>
  <c r="N35" i="38"/>
  <c r="N36" i="38"/>
  <c r="N37" i="38"/>
  <c r="N38" i="38"/>
  <c r="N39" i="38"/>
  <c r="N40" i="38"/>
  <c r="N41" i="38"/>
  <c r="N42" i="38"/>
  <c r="N43" i="38"/>
  <c r="N44" i="38"/>
  <c r="N45" i="38"/>
  <c r="N46" i="38"/>
  <c r="N47" i="38"/>
  <c r="N48" i="38"/>
  <c r="N49" i="38"/>
  <c r="H5" i="39"/>
  <c r="H35" i="39"/>
  <c r="H36" i="39"/>
  <c r="H37" i="39"/>
  <c r="H38" i="39"/>
  <c r="H39" i="39"/>
  <c r="H40" i="39"/>
  <c r="H41" i="39"/>
  <c r="H42" i="39"/>
  <c r="H43" i="39"/>
  <c r="H44" i="39"/>
  <c r="H45" i="39"/>
  <c r="H46" i="39"/>
  <c r="H47" i="39"/>
  <c r="H48" i="39"/>
  <c r="H49" i="39"/>
  <c r="H50" i="39"/>
  <c r="H51" i="39"/>
  <c r="H52" i="39"/>
  <c r="H53" i="39"/>
  <c r="H54" i="39"/>
  <c r="H55" i="39"/>
  <c r="H56" i="39"/>
  <c r="H57" i="39"/>
  <c r="H58" i="39"/>
  <c r="H59" i="39"/>
  <c r="H60" i="39"/>
  <c r="H61" i="39"/>
  <c r="H62" i="39"/>
  <c r="H63" i="39"/>
  <c r="H34" i="39"/>
  <c r="R35" i="40"/>
  <c r="R36" i="40"/>
  <c r="R37" i="40"/>
  <c r="R38" i="40"/>
  <c r="R39" i="40"/>
  <c r="R40" i="40"/>
  <c r="R41" i="40"/>
  <c r="R42" i="40"/>
  <c r="R43" i="40"/>
  <c r="R44" i="40"/>
  <c r="R45" i="40"/>
  <c r="R46" i="40"/>
  <c r="R47" i="40"/>
  <c r="R48" i="40"/>
  <c r="R49" i="40"/>
  <c r="R50" i="40"/>
  <c r="R51" i="40"/>
  <c r="R52" i="40"/>
  <c r="R53" i="40"/>
  <c r="R54" i="40"/>
  <c r="R55" i="40"/>
  <c r="R56" i="40"/>
  <c r="R57" i="40"/>
  <c r="R58" i="40"/>
  <c r="R59" i="40"/>
  <c r="R60" i="40"/>
  <c r="R61" i="40"/>
  <c r="R62" i="40"/>
  <c r="R63" i="40"/>
  <c r="N35" i="41"/>
  <c r="N36" i="41"/>
  <c r="N37" i="41"/>
  <c r="N38" i="41"/>
  <c r="N39" i="41"/>
  <c r="N40" i="41"/>
  <c r="N41" i="41"/>
  <c r="N42" i="41"/>
  <c r="N43" i="41"/>
  <c r="N44" i="41"/>
  <c r="N45" i="41"/>
  <c r="N46" i="41"/>
  <c r="N47" i="41"/>
  <c r="N48" i="41"/>
  <c r="N49" i="41"/>
  <c r="N50" i="41"/>
  <c r="N51" i="41"/>
  <c r="N52" i="41"/>
  <c r="N53" i="41"/>
  <c r="N54" i="41"/>
  <c r="N55" i="41"/>
  <c r="N56" i="41"/>
  <c r="N57" i="41"/>
  <c r="N58" i="41"/>
  <c r="N59" i="41"/>
  <c r="N60" i="41"/>
  <c r="N61" i="41"/>
  <c r="N62" i="41"/>
  <c r="N63" i="41"/>
  <c r="O35" i="42"/>
  <c r="O36" i="42"/>
  <c r="O37" i="42"/>
  <c r="O38" i="42"/>
  <c r="O39" i="42"/>
  <c r="O40" i="42"/>
  <c r="O41" i="42"/>
  <c r="O42" i="42"/>
  <c r="O43" i="42"/>
  <c r="O44" i="42"/>
  <c r="O45" i="42"/>
  <c r="O46" i="42"/>
  <c r="O47" i="42"/>
  <c r="O48" i="42"/>
  <c r="O49" i="42"/>
  <c r="O50" i="42"/>
  <c r="O51" i="42"/>
  <c r="O52" i="42"/>
  <c r="O53" i="42"/>
  <c r="O54" i="42"/>
  <c r="O55" i="42"/>
  <c r="O56" i="42"/>
  <c r="O57" i="42"/>
  <c r="O58" i="42"/>
  <c r="O59" i="42"/>
  <c r="O60" i="42"/>
  <c r="O61" i="42"/>
  <c r="O62" i="42"/>
  <c r="O63" i="42"/>
  <c r="BJ35" i="27"/>
  <c r="BJ36" i="27"/>
  <c r="BJ37" i="27"/>
  <c r="BJ38" i="27"/>
  <c r="BJ39" i="27"/>
  <c r="BJ40" i="27"/>
  <c r="BJ41" i="27"/>
  <c r="BJ42" i="27"/>
  <c r="BJ43" i="27"/>
  <c r="BJ44" i="27"/>
  <c r="BJ45" i="27"/>
  <c r="BJ46" i="27"/>
  <c r="BJ47" i="27"/>
  <c r="BJ48" i="27"/>
  <c r="BG32" i="27"/>
  <c r="BG6" i="27"/>
  <c r="BF17" i="27"/>
  <c r="BG21" i="27"/>
  <c r="BF24" i="27"/>
  <c r="BG27" i="27"/>
  <c r="BG38" i="27"/>
  <c r="BG47" i="27"/>
  <c r="BG36" i="27"/>
  <c r="BG26" i="27"/>
  <c r="BG14" i="27"/>
  <c r="BF15" i="27"/>
  <c r="BG22" i="27"/>
  <c r="BG31" i="27"/>
  <c r="BG13" i="27"/>
  <c r="BG12" i="27"/>
  <c r="BG10" i="27"/>
  <c r="BF27" i="27"/>
  <c r="BF11" i="27"/>
  <c r="BG39" i="27"/>
  <c r="BF45" i="27"/>
  <c r="BG35" i="27"/>
  <c r="BF26" i="27"/>
  <c r="BF14" i="27"/>
  <c r="BG44" i="27"/>
  <c r="BG15" i="27"/>
  <c r="BG8" i="27"/>
  <c r="BG23" i="27"/>
  <c r="BF16" i="27"/>
  <c r="BF13" i="27"/>
  <c r="BF48" i="27"/>
  <c r="BF39" i="27"/>
  <c r="BG46" i="27"/>
  <c r="BF37" i="27"/>
  <c r="BG25" i="27"/>
  <c r="BF18" i="27"/>
  <c r="BF36" i="27"/>
  <c r="BG9" i="27"/>
  <c r="BG28" i="27"/>
  <c r="BF30" i="27"/>
  <c r="BG20" i="27"/>
  <c r="BG11" i="27"/>
  <c r="BG43" i="27"/>
  <c r="BG40" i="27"/>
  <c r="BF46" i="27"/>
  <c r="BG37" i="27"/>
  <c r="BF25" i="27"/>
  <c r="BF9" i="27"/>
  <c r="BF12" i="27"/>
  <c r="BF10" i="27"/>
  <c r="BG30" i="27"/>
  <c r="BF20" i="27"/>
  <c r="BF8" i="27"/>
  <c r="BG48" i="27"/>
  <c r="BG45" i="27"/>
  <c r="BG42" i="27"/>
  <c r="BF35" i="27"/>
  <c r="BF22" i="27"/>
  <c r="BF43" i="27"/>
  <c r="BF32" i="27"/>
  <c r="BF4" i="27"/>
  <c r="BG7" i="27"/>
  <c r="BF6" i="27"/>
  <c r="BF7" i="27"/>
  <c r="BG16" i="27"/>
  <c r="BF40" i="27"/>
  <c r="BF44" i="27"/>
  <c r="BG41" i="27"/>
  <c r="BF29" i="27"/>
  <c r="BG19" i="27"/>
  <c r="BG18" i="27"/>
  <c r="BF42" i="27"/>
  <c r="BF31" i="27"/>
  <c r="BG4" i="27"/>
  <c r="BG24" i="27"/>
  <c r="BF28" i="27"/>
  <c r="BF23" i="27"/>
  <c r="BF21" i="27"/>
  <c r="BF38" i="27"/>
  <c r="BF47" i="27"/>
  <c r="BF41" i="27"/>
  <c r="BG29" i="27"/>
  <c r="BF19" i="27"/>
  <c r="BG17" i="27"/>
  <c r="Z11" i="5" l="1"/>
  <c r="N32" i="6"/>
  <c r="N31" i="6"/>
  <c r="N3" i="6"/>
  <c r="N6" i="6"/>
  <c r="N30" i="6"/>
  <c r="N28" i="6"/>
  <c r="N43" i="6"/>
  <c r="N39" i="6"/>
  <c r="N19" i="6"/>
  <c r="N25" i="6"/>
  <c r="N17" i="6"/>
  <c r="N22" i="6"/>
  <c r="N26" i="6"/>
  <c r="N29" i="6"/>
  <c r="N20" i="6"/>
  <c r="N45" i="6"/>
  <c r="N37" i="6"/>
  <c r="N44" i="6"/>
  <c r="N47" i="6"/>
  <c r="N35" i="6"/>
  <c r="N42" i="6"/>
  <c r="N40" i="6"/>
  <c r="N41" i="6"/>
  <c r="N36" i="6"/>
  <c r="N46" i="6"/>
  <c r="N38" i="6"/>
  <c r="N48" i="6"/>
  <c r="N14" i="6"/>
  <c r="N10" i="6"/>
  <c r="N23" i="6"/>
  <c r="N24" i="6"/>
  <c r="N15" i="6"/>
  <c r="N7" i="6"/>
  <c r="N8" i="6"/>
  <c r="N21" i="6"/>
  <c r="N4" i="6"/>
  <c r="N9" i="6"/>
  <c r="N16" i="6"/>
  <c r="N11" i="6"/>
  <c r="N27" i="6"/>
  <c r="N18" i="6"/>
  <c r="N12" i="6"/>
  <c r="N13" i="6"/>
  <c r="R18" i="6"/>
  <c r="R4" i="6"/>
  <c r="R32" i="6"/>
  <c r="R24" i="6"/>
  <c r="R16" i="6"/>
  <c r="R9" i="6"/>
  <c r="R8" i="6"/>
  <c r="R27" i="6"/>
  <c r="R19" i="6"/>
  <c r="R11" i="6"/>
  <c r="R30" i="6"/>
  <c r="R22" i="6"/>
  <c r="R14" i="6"/>
  <c r="R6" i="6"/>
  <c r="R26" i="6"/>
  <c r="R29" i="6"/>
  <c r="R21" i="6"/>
  <c r="R25" i="6"/>
  <c r="R17" i="6"/>
  <c r="R10" i="6"/>
  <c r="R28" i="6"/>
  <c r="R20" i="6"/>
  <c r="R12" i="6"/>
  <c r="R3" i="6"/>
  <c r="R13" i="6"/>
  <c r="R31" i="6"/>
  <c r="R23" i="6"/>
  <c r="R15" i="6"/>
  <c r="R7" i="6"/>
  <c r="BH23" i="27"/>
  <c r="BI23" i="27" s="1"/>
  <c r="BH7" i="27"/>
  <c r="BI7" i="27" s="1"/>
  <c r="BH29" i="27"/>
  <c r="BI29" i="27" s="1"/>
  <c r="BH21" i="27"/>
  <c r="BI21" i="27" s="1"/>
  <c r="BH13" i="27"/>
  <c r="BI13" i="27" s="1"/>
  <c r="BH4" i="27"/>
  <c r="BI4" i="27" s="1"/>
  <c r="BH26" i="27"/>
  <c r="BI26" i="27" s="1"/>
  <c r="BH32" i="27"/>
  <c r="BI32" i="27" s="1"/>
  <c r="BH24" i="27"/>
  <c r="BI24" i="27" s="1"/>
  <c r="BH16" i="27"/>
  <c r="BI16" i="27" s="1"/>
  <c r="BH9" i="27"/>
  <c r="BI9" i="27" s="1"/>
  <c r="BH18" i="27"/>
  <c r="BI18" i="27" s="1"/>
  <c r="BH8" i="27"/>
  <c r="BI8" i="27" s="1"/>
  <c r="BH27" i="27"/>
  <c r="BI27" i="27" s="1"/>
  <c r="BH19" i="27"/>
  <c r="BI19" i="27" s="1"/>
  <c r="BH11" i="27"/>
  <c r="BI11" i="27" s="1"/>
  <c r="BH31" i="27"/>
  <c r="BI31" i="27" s="1"/>
  <c r="BH15" i="27"/>
  <c r="BI15" i="27" s="1"/>
  <c r="BH30" i="27"/>
  <c r="BI30" i="27" s="1"/>
  <c r="BH22" i="27"/>
  <c r="BI22" i="27" s="1"/>
  <c r="BH14" i="27"/>
  <c r="BI14" i="27" s="1"/>
  <c r="BH6" i="27"/>
  <c r="BI6" i="27" s="1"/>
  <c r="BH25" i="27"/>
  <c r="BI25" i="27" s="1"/>
  <c r="BH17" i="27"/>
  <c r="BI17" i="27" s="1"/>
  <c r="BH10" i="27"/>
  <c r="BI10" i="27" s="1"/>
  <c r="BH28" i="27"/>
  <c r="BI28" i="27" s="1"/>
  <c r="BH20" i="27"/>
  <c r="BI20" i="27" s="1"/>
  <c r="BH12" i="27"/>
  <c r="BI12" i="27" s="1"/>
  <c r="BH3" i="27"/>
  <c r="BI3" i="27" s="1"/>
  <c r="R47" i="6"/>
  <c r="R37" i="6"/>
  <c r="R40" i="6"/>
  <c r="R43" i="6"/>
  <c r="R39" i="6"/>
  <c r="R46" i="6"/>
  <c r="R36" i="6"/>
  <c r="R41" i="6"/>
  <c r="R44" i="6"/>
  <c r="R45" i="6"/>
  <c r="R35" i="6"/>
  <c r="R38" i="6"/>
  <c r="R42" i="6"/>
  <c r="R48" i="6"/>
  <c r="BH38" i="27"/>
  <c r="BI38" i="27" s="1"/>
  <c r="BH41" i="27"/>
  <c r="BI41" i="27" s="1"/>
  <c r="BH44" i="27"/>
  <c r="BI44" i="27" s="1"/>
  <c r="BH36" i="27"/>
  <c r="BI36" i="27" s="1"/>
  <c r="BH47" i="27"/>
  <c r="BI47" i="27" s="1"/>
  <c r="BH39" i="27"/>
  <c r="BI39" i="27" s="1"/>
  <c r="BH42" i="27"/>
  <c r="BI42" i="27" s="1"/>
  <c r="BH45" i="27"/>
  <c r="BI45" i="27" s="1"/>
  <c r="BH37" i="27"/>
  <c r="BI37" i="27" s="1"/>
  <c r="BH48" i="27"/>
  <c r="BI48" i="27" s="1"/>
  <c r="BH40" i="27"/>
  <c r="BI40" i="27" s="1"/>
  <c r="BH46" i="27"/>
  <c r="BI46" i="27" s="1"/>
  <c r="BH43" i="27"/>
  <c r="BI43" i="27" s="1"/>
  <c r="BH35" i="27"/>
  <c r="BI35" i="27" s="1"/>
  <c r="V28" i="6" l="1"/>
  <c r="V27" i="6"/>
  <c r="V48" i="6"/>
  <c r="V29" i="6"/>
  <c r="V39" i="6"/>
  <c r="V17" i="6"/>
  <c r="V18" i="6"/>
  <c r="V46" i="6"/>
  <c r="V6" i="6"/>
  <c r="V31" i="6"/>
  <c r="V16" i="6"/>
  <c r="V7" i="6"/>
  <c r="V12" i="6"/>
  <c r="V23" i="6"/>
  <c r="V14" i="6"/>
  <c r="V21" i="6"/>
  <c r="V36" i="6"/>
  <c r="V3" i="6"/>
  <c r="V22" i="6"/>
  <c r="V19" i="6"/>
  <c r="V10" i="6"/>
  <c r="V44" i="6"/>
  <c r="V37" i="6"/>
  <c r="V41" i="6"/>
  <c r="V30" i="6"/>
  <c r="V24" i="6"/>
  <c r="V13" i="6"/>
  <c r="V40" i="6"/>
  <c r="V9" i="6"/>
  <c r="V45" i="6"/>
  <c r="V38" i="6"/>
  <c r="V25" i="6"/>
  <c r="V15" i="6"/>
  <c r="V8" i="6"/>
  <c r="V32" i="6"/>
  <c r="V47" i="6"/>
  <c r="V35" i="6"/>
  <c r="V43" i="6"/>
  <c r="V42" i="6"/>
  <c r="V20" i="6"/>
  <c r="V26" i="6"/>
  <c r="V11" i="6"/>
  <c r="V4" i="6"/>
  <c r="X64" i="27"/>
  <c r="BJ61" i="27" l="1"/>
  <c r="BF61" i="27"/>
  <c r="BG61" i="27"/>
  <c r="N61" i="6" l="1"/>
  <c r="R61" i="6"/>
  <c r="BH61" i="27"/>
  <c r="BI61" i="27" s="1"/>
  <c r="V61" i="6" l="1"/>
  <c r="N34" i="41"/>
  <c r="N5" i="41"/>
  <c r="C29" i="6" l="1"/>
  <c r="C27" i="6"/>
  <c r="C26" i="6"/>
  <c r="C30" i="6"/>
  <c r="C32" i="6"/>
  <c r="C31" i="6"/>
  <c r="C28" i="6"/>
  <c r="O34" i="42"/>
  <c r="O5" i="42"/>
  <c r="R34" i="40" l="1"/>
  <c r="R5" i="40" l="1"/>
  <c r="N63" i="38" l="1"/>
  <c r="N62" i="38"/>
  <c r="N61" i="38"/>
  <c r="N60" i="38"/>
  <c r="N59" i="38"/>
  <c r="N58" i="38"/>
  <c r="N57" i="38"/>
  <c r="N56" i="38"/>
  <c r="N55" i="38"/>
  <c r="N54" i="38"/>
  <c r="N53" i="38"/>
  <c r="N52" i="38"/>
  <c r="N51" i="38"/>
  <c r="N50" i="38"/>
  <c r="N34" i="38"/>
  <c r="N5" i="38"/>
  <c r="Y34" i="36" l="1"/>
  <c r="Y5" i="36"/>
  <c r="Z34" i="5"/>
  <c r="Z5" i="5" l="1"/>
  <c r="J4" i="43" l="1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J18" i="43"/>
  <c r="J19" i="43"/>
  <c r="J20" i="43"/>
  <c r="J21" i="43"/>
  <c r="J22" i="43"/>
  <c r="J23" i="43"/>
  <c r="J24" i="43"/>
  <c r="J25" i="43"/>
  <c r="BJ49" i="27"/>
  <c r="BJ50" i="27"/>
  <c r="BJ51" i="27"/>
  <c r="BJ52" i="27"/>
  <c r="BJ53" i="27"/>
  <c r="BJ54" i="27"/>
  <c r="BJ55" i="27"/>
  <c r="BJ56" i="27"/>
  <c r="BJ57" i="27"/>
  <c r="BJ58" i="27"/>
  <c r="BJ59" i="27"/>
  <c r="BJ60" i="27"/>
  <c r="BJ62" i="27"/>
  <c r="BJ63" i="27"/>
  <c r="M11" i="43"/>
  <c r="BG63" i="27"/>
  <c r="M5" i="43"/>
  <c r="BF50" i="27"/>
  <c r="BG58" i="27"/>
  <c r="BG54" i="27"/>
  <c r="BG49" i="27"/>
  <c r="BG50" i="27"/>
  <c r="M7" i="43"/>
  <c r="M25" i="43"/>
  <c r="BF62" i="27"/>
  <c r="BG55" i="27"/>
  <c r="BG59" i="27"/>
  <c r="BF54" i="27"/>
  <c r="BF53" i="27"/>
  <c r="M17" i="43"/>
  <c r="M19" i="43"/>
  <c r="M9" i="43"/>
  <c r="BG62" i="27"/>
  <c r="BF55" i="27"/>
  <c r="BF57" i="27"/>
  <c r="BF52" i="27"/>
  <c r="M21" i="43"/>
  <c r="M13" i="43"/>
  <c r="M20" i="43"/>
  <c r="M18" i="43"/>
  <c r="BG56" i="27"/>
  <c r="BG53" i="27"/>
  <c r="M12" i="43"/>
  <c r="M22" i="43"/>
  <c r="M14" i="43"/>
  <c r="M10" i="43"/>
  <c r="BG60" i="27"/>
  <c r="BG52" i="27"/>
  <c r="BF49" i="27"/>
  <c r="M23" i="43"/>
  <c r="M8" i="43"/>
  <c r="M6" i="43"/>
  <c r="M16" i="43"/>
  <c r="BF60" i="27"/>
  <c r="BF59" i="27"/>
  <c r="BG51" i="27"/>
  <c r="BF58" i="27"/>
  <c r="M4" i="43"/>
  <c r="BF63" i="27"/>
  <c r="M24" i="43"/>
  <c r="BF56" i="27"/>
  <c r="BG57" i="27"/>
  <c r="BF51" i="27"/>
  <c r="M15" i="43"/>
  <c r="N62" i="6" l="1"/>
  <c r="N63" i="6"/>
  <c r="R63" i="6"/>
  <c r="R62" i="6"/>
  <c r="R49" i="6"/>
  <c r="N49" i="6"/>
  <c r="R58" i="6"/>
  <c r="N58" i="6"/>
  <c r="R52" i="6"/>
  <c r="N52" i="6"/>
  <c r="R59" i="6"/>
  <c r="N59" i="6"/>
  <c r="R55" i="6"/>
  <c r="N55" i="6"/>
  <c r="R57" i="6"/>
  <c r="N57" i="6"/>
  <c r="R56" i="6"/>
  <c r="N56" i="6"/>
  <c r="R50" i="6"/>
  <c r="N50" i="6"/>
  <c r="R53" i="6"/>
  <c r="N53" i="6"/>
  <c r="R51" i="6"/>
  <c r="N51" i="6"/>
  <c r="R60" i="6"/>
  <c r="N60" i="6"/>
  <c r="R54" i="6"/>
  <c r="N54" i="6"/>
  <c r="BH60" i="27" l="1"/>
  <c r="BI60" i="27" s="1"/>
  <c r="BH56" i="27"/>
  <c r="BI56" i="27" s="1"/>
  <c r="BH52" i="27"/>
  <c r="BI52" i="27" s="1"/>
  <c r="BH59" i="27"/>
  <c r="BI59" i="27" s="1"/>
  <c r="BH55" i="27"/>
  <c r="BI55" i="27" s="1"/>
  <c r="BH51" i="27"/>
  <c r="BI51" i="27" s="1"/>
  <c r="BH63" i="27"/>
  <c r="BI63" i="27" s="1"/>
  <c r="BH58" i="27"/>
  <c r="BH54" i="27"/>
  <c r="BI54" i="27" s="1"/>
  <c r="BH50" i="27"/>
  <c r="BH62" i="27"/>
  <c r="BI62" i="27" s="1"/>
  <c r="BH57" i="27"/>
  <c r="BI57" i="27" s="1"/>
  <c r="BH53" i="27"/>
  <c r="BI53" i="27" s="1"/>
  <c r="BH49" i="27"/>
  <c r="BI49" i="27" s="1"/>
  <c r="V62" i="6" l="1"/>
  <c r="V63" i="6"/>
  <c r="V49" i="6"/>
  <c r="V52" i="6"/>
  <c r="V59" i="6"/>
  <c r="V55" i="6"/>
  <c r="V57" i="6"/>
  <c r="V56" i="6"/>
  <c r="V53" i="6"/>
  <c r="V51" i="6"/>
  <c r="V60" i="6"/>
  <c r="V54" i="6"/>
  <c r="BI50" i="27"/>
  <c r="BI58" i="27"/>
  <c r="V58" i="6" l="1"/>
  <c r="V50" i="6"/>
  <c r="D66" i="6" l="1"/>
  <c r="J66" i="6" l="1"/>
  <c r="AV64" i="27"/>
  <c r="AY64" i="27"/>
  <c r="AX64" i="27"/>
  <c r="AW64" i="27"/>
  <c r="AX65" i="27" l="1"/>
  <c r="AV65" i="27"/>
  <c r="AY65" i="27"/>
  <c r="AW65" i="27"/>
  <c r="AU64" i="27"/>
  <c r="AU65" i="27" l="1"/>
  <c r="AM64" i="27"/>
  <c r="AS64" i="27"/>
  <c r="AN64" i="27"/>
  <c r="AQ64" i="27"/>
  <c r="AT64" i="27"/>
  <c r="AR64" i="27"/>
  <c r="AP64" i="27"/>
  <c r="AM65" i="27" l="1"/>
  <c r="AN65" i="27"/>
  <c r="AQ65" i="27"/>
  <c r="AP65" i="27"/>
  <c r="AR65" i="27"/>
  <c r="AS65" i="27"/>
  <c r="AT65" i="27"/>
  <c r="BJ34" i="27"/>
  <c r="BJ5" i="27"/>
  <c r="D48" i="43" l="1"/>
  <c r="D69" i="42"/>
  <c r="D69" i="41"/>
  <c r="D69" i="40"/>
  <c r="D69" i="39"/>
  <c r="D69" i="38"/>
  <c r="D69" i="36"/>
  <c r="D69" i="5"/>
  <c r="D69" i="1"/>
  <c r="B12" i="3" l="1"/>
  <c r="J64" i="6"/>
  <c r="I66" i="6"/>
  <c r="I64" i="6"/>
  <c r="H66" i="6"/>
  <c r="H64" i="6"/>
  <c r="G66" i="6"/>
  <c r="G64" i="6"/>
  <c r="F66" i="6"/>
  <c r="F64" i="6"/>
  <c r="B3" i="45" l="1"/>
  <c r="B4" i="45"/>
  <c r="B5" i="45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7" i="45"/>
  <c r="B28" i="45"/>
  <c r="B29" i="45"/>
  <c r="B30" i="45"/>
  <c r="B31" i="45"/>
  <c r="B32" i="45"/>
  <c r="B33" i="45"/>
  <c r="B34" i="45"/>
  <c r="B35" i="45"/>
  <c r="B36" i="45"/>
  <c r="B37" i="45"/>
  <c r="B38" i="45"/>
  <c r="B39" i="45"/>
  <c r="B40" i="45"/>
  <c r="B41" i="45"/>
  <c r="B42" i="45"/>
  <c r="B43" i="45"/>
  <c r="B44" i="45"/>
  <c r="B45" i="45"/>
  <c r="B46" i="45"/>
  <c r="B47" i="45"/>
  <c r="B48" i="45"/>
  <c r="B49" i="45"/>
  <c r="B50" i="45"/>
  <c r="B51" i="45"/>
  <c r="B52" i="45"/>
  <c r="B53" i="45"/>
  <c r="B54" i="45"/>
  <c r="B55" i="45"/>
  <c r="B56" i="45"/>
  <c r="B57" i="45"/>
  <c r="B58" i="45"/>
  <c r="B59" i="45"/>
  <c r="B60" i="45"/>
  <c r="B61" i="45"/>
  <c r="B62" i="45"/>
  <c r="B63" i="45"/>
  <c r="B64" i="45"/>
  <c r="B65" i="45"/>
  <c r="B66" i="45"/>
  <c r="B67" i="45"/>
  <c r="B68" i="45"/>
  <c r="B69" i="45"/>
  <c r="B70" i="45"/>
  <c r="B71" i="45"/>
  <c r="B72" i="45"/>
  <c r="B1" i="45"/>
  <c r="B2" i="45"/>
  <c r="J42" i="43" l="1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AD64" i="27"/>
  <c r="AD65" i="27" l="1"/>
  <c r="C66" i="27"/>
  <c r="L64" i="27"/>
  <c r="J64" i="27"/>
  <c r="AF64" i="27"/>
  <c r="G64" i="27"/>
  <c r="E64" i="27"/>
  <c r="D64" i="27"/>
  <c r="C64" i="27"/>
  <c r="AG64" i="27"/>
  <c r="AB64" i="27"/>
  <c r="O64" i="27"/>
  <c r="H64" i="27"/>
  <c r="AH64" i="27"/>
  <c r="T64" i="27"/>
  <c r="BE64" i="27"/>
  <c r="AC64" i="27"/>
  <c r="I64" i="27"/>
  <c r="AI64" i="27"/>
  <c r="K64" i="27"/>
  <c r="Q64" i="27"/>
  <c r="Y64" i="27"/>
  <c r="V64" i="27"/>
  <c r="AK64" i="27"/>
  <c r="U64" i="27"/>
  <c r="R64" i="27"/>
  <c r="S64" i="27"/>
  <c r="AJ64" i="27"/>
  <c r="T65" i="27" l="1"/>
  <c r="AH65" i="27"/>
  <c r="AB65" i="27"/>
  <c r="AG65" i="27"/>
  <c r="Y65" i="27"/>
  <c r="AF65" i="27"/>
  <c r="AK65" i="27"/>
  <c r="AC65" i="27"/>
  <c r="U65" i="27"/>
  <c r="AI65" i="27"/>
  <c r="S65" i="27"/>
  <c r="AJ65" i="27"/>
  <c r="V65" i="27"/>
  <c r="Q65" i="27"/>
  <c r="R65" i="27"/>
  <c r="N35" i="44"/>
  <c r="M64" i="27"/>
  <c r="W64" i="27"/>
  <c r="P64" i="27"/>
  <c r="N64" i="27"/>
  <c r="AL64" i="27"/>
  <c r="AE64" i="27"/>
  <c r="AA64" i="27"/>
  <c r="W65" i="27" l="1"/>
  <c r="AE65" i="27"/>
  <c r="P65" i="27"/>
  <c r="AA65" i="27"/>
  <c r="AL65" i="27"/>
  <c r="N34" i="44"/>
  <c r="N33" i="44" l="1"/>
  <c r="N32" i="44" l="1"/>
  <c r="N31" i="44" l="1"/>
  <c r="N30" i="44" l="1"/>
  <c r="N29" i="44" l="1"/>
  <c r="N28" i="44" l="1"/>
  <c r="N27" i="44" l="1"/>
  <c r="N26" i="44" l="1"/>
  <c r="N25" i="44" l="1"/>
  <c r="N24" i="44" l="1"/>
  <c r="N23" i="44" l="1"/>
  <c r="N22" i="44" l="1"/>
  <c r="N21" i="44" l="1"/>
  <c r="N20" i="44" l="1"/>
  <c r="K63" i="1" l="1"/>
  <c r="K62" i="1"/>
  <c r="K61" i="1"/>
  <c r="K59" i="1"/>
  <c r="K58" i="1"/>
  <c r="K57" i="1"/>
  <c r="K56" i="1"/>
  <c r="K55" i="1"/>
  <c r="K54" i="1"/>
  <c r="K34" i="1"/>
  <c r="K53" i="1"/>
  <c r="K60" i="1"/>
  <c r="BG34" i="27"/>
  <c r="BF34" i="27"/>
  <c r="BH34" i="27" l="1"/>
  <c r="BI34" i="27" s="1"/>
  <c r="R34" i="6"/>
  <c r="N34" i="6"/>
  <c r="V34" i="6" l="1"/>
  <c r="J3" i="43"/>
  <c r="D42" i="44"/>
  <c r="N18" i="44"/>
  <c r="N17" i="44"/>
  <c r="N16" i="44"/>
  <c r="N15" i="44"/>
  <c r="N14" i="44"/>
  <c r="N13" i="44"/>
  <c r="N12" i="44"/>
  <c r="N11" i="44"/>
  <c r="N10" i="44"/>
  <c r="N9" i="44"/>
  <c r="N8" i="44"/>
  <c r="N7" i="44"/>
  <c r="N6" i="44"/>
  <c r="N5" i="44"/>
  <c r="N4" i="44"/>
  <c r="N3" i="44"/>
  <c r="D49" i="43"/>
  <c r="D70" i="42"/>
  <c r="M34" i="43"/>
  <c r="R57" i="42"/>
  <c r="R19" i="42"/>
  <c r="R56" i="42"/>
  <c r="Q34" i="44"/>
  <c r="R44" i="42"/>
  <c r="R32" i="42"/>
  <c r="R59" i="42"/>
  <c r="M41" i="43"/>
  <c r="R8" i="42"/>
  <c r="R54" i="42"/>
  <c r="R20" i="42"/>
  <c r="R62" i="42"/>
  <c r="Q29" i="44"/>
  <c r="R39" i="42"/>
  <c r="M40" i="43"/>
  <c r="R10" i="42"/>
  <c r="R16" i="42"/>
  <c r="R40" i="42"/>
  <c r="Q23" i="44"/>
  <c r="R46" i="42"/>
  <c r="M30" i="43"/>
  <c r="R49" i="42"/>
  <c r="R35" i="42"/>
  <c r="Q35" i="44"/>
  <c r="M35" i="43"/>
  <c r="Q31" i="44"/>
  <c r="M27" i="43"/>
  <c r="Q33" i="44"/>
  <c r="M39" i="43"/>
  <c r="R21" i="42"/>
  <c r="R45" i="42"/>
  <c r="R51" i="42"/>
  <c r="M29" i="43"/>
  <c r="M32" i="43"/>
  <c r="Q22" i="44"/>
  <c r="Q20" i="44"/>
  <c r="R63" i="42"/>
  <c r="Q28" i="44"/>
  <c r="R11" i="42"/>
  <c r="R60" i="42"/>
  <c r="Q25" i="44"/>
  <c r="R41" i="42"/>
  <c r="M38" i="43"/>
  <c r="R17" i="42"/>
  <c r="R7" i="42"/>
  <c r="R42" i="42"/>
  <c r="R3" i="42"/>
  <c r="R36" i="42"/>
  <c r="R58" i="42"/>
  <c r="Q21" i="44"/>
  <c r="R12" i="42"/>
  <c r="Q26" i="44"/>
  <c r="Q32" i="44"/>
  <c r="R52" i="42"/>
  <c r="M28" i="43"/>
  <c r="R47" i="42"/>
  <c r="R61" i="42"/>
  <c r="M36" i="43"/>
  <c r="R31" i="42"/>
  <c r="R37" i="42"/>
  <c r="M37" i="43"/>
  <c r="R27" i="42"/>
  <c r="R15" i="42"/>
  <c r="R22" i="42"/>
  <c r="R6" i="42"/>
  <c r="M31" i="43"/>
  <c r="Q24" i="44"/>
  <c r="Q27" i="44"/>
  <c r="M42" i="43"/>
  <c r="Q30" i="44"/>
  <c r="M33" i="43"/>
  <c r="R26" i="42"/>
  <c r="R38" i="42"/>
  <c r="R25" i="42"/>
  <c r="R53" i="42"/>
  <c r="R13" i="42"/>
  <c r="R14" i="42"/>
  <c r="R23" i="42"/>
  <c r="R9" i="42"/>
  <c r="R30" i="42"/>
  <c r="R48" i="42"/>
  <c r="R43" i="42"/>
  <c r="R28" i="42"/>
  <c r="R55" i="42"/>
  <c r="R4" i="42"/>
  <c r="R18" i="42"/>
  <c r="R24" i="42"/>
  <c r="R50" i="42"/>
  <c r="R29" i="42"/>
  <c r="J55" i="6" l="1"/>
  <c r="J62" i="6"/>
  <c r="J58" i="6"/>
  <c r="J54" i="6"/>
  <c r="J50" i="6"/>
  <c r="J46" i="6"/>
  <c r="J42" i="6"/>
  <c r="J38" i="6"/>
  <c r="J57" i="6"/>
  <c r="J53" i="6"/>
  <c r="J49" i="6"/>
  <c r="J45" i="6"/>
  <c r="J41" i="6"/>
  <c r="J37" i="6"/>
  <c r="J60" i="6"/>
  <c r="J56" i="6"/>
  <c r="J52" i="6"/>
  <c r="J48" i="6"/>
  <c r="J44" i="6"/>
  <c r="J40" i="6"/>
  <c r="J36" i="6"/>
  <c r="J61" i="6"/>
  <c r="J59" i="6"/>
  <c r="J51" i="6"/>
  <c r="J47" i="6"/>
  <c r="J43" i="6"/>
  <c r="J39" i="6"/>
  <c r="J35" i="6"/>
  <c r="J63" i="6"/>
  <c r="J11" i="6"/>
  <c r="J30" i="6"/>
  <c r="J26" i="6"/>
  <c r="J22" i="6"/>
  <c r="J18" i="6"/>
  <c r="J14" i="6"/>
  <c r="J8" i="6"/>
  <c r="J6" i="6"/>
  <c r="J23" i="6"/>
  <c r="J7" i="6"/>
  <c r="J29" i="6"/>
  <c r="J17" i="6"/>
  <c r="J13" i="6"/>
  <c r="J10" i="6"/>
  <c r="J4" i="6"/>
  <c r="J27" i="6"/>
  <c r="J21" i="6"/>
  <c r="J31" i="6"/>
  <c r="J15" i="6"/>
  <c r="J25" i="6"/>
  <c r="J32" i="6"/>
  <c r="J28" i="6"/>
  <c r="J24" i="6"/>
  <c r="J20" i="6"/>
  <c r="J16" i="6"/>
  <c r="J12" i="6"/>
  <c r="J9" i="6"/>
  <c r="J3" i="6"/>
  <c r="J19" i="6"/>
  <c r="J65" i="6"/>
  <c r="D70" i="41"/>
  <c r="Q18" i="44"/>
  <c r="Q12" i="41"/>
  <c r="Q58" i="41"/>
  <c r="Q20" i="41"/>
  <c r="Q53" i="41"/>
  <c r="Q51" i="41"/>
  <c r="Q45" i="41"/>
  <c r="Q15" i="41"/>
  <c r="Q37" i="41"/>
  <c r="Q14" i="41"/>
  <c r="Q21" i="41"/>
  <c r="R34" i="42"/>
  <c r="Q9" i="44"/>
  <c r="Q3" i="44"/>
  <c r="Q35" i="41"/>
  <c r="Q25" i="41"/>
  <c r="Q40" i="41"/>
  <c r="R5" i="42"/>
  <c r="Q59" i="41"/>
  <c r="Q49" i="41"/>
  <c r="Q16" i="44"/>
  <c r="Q22" i="41"/>
  <c r="Q34" i="41"/>
  <c r="Q36" i="41"/>
  <c r="Q29" i="41"/>
  <c r="Q31" i="41"/>
  <c r="Q13" i="44"/>
  <c r="Q10" i="44"/>
  <c r="Q42" i="41"/>
  <c r="Q32" i="41"/>
  <c r="Q56" i="41"/>
  <c r="Q38" i="41"/>
  <c r="Q46" i="41"/>
  <c r="Q7" i="41"/>
  <c r="Q62" i="41"/>
  <c r="Q43" i="41"/>
  <c r="Q8" i="41"/>
  <c r="Q47" i="41"/>
  <c r="Q44" i="41"/>
  <c r="Q7" i="44"/>
  <c r="Q19" i="41"/>
  <c r="Q10" i="41"/>
  <c r="Q17" i="44"/>
  <c r="Q8" i="44"/>
  <c r="Q4" i="44"/>
  <c r="Q6" i="41"/>
  <c r="Q11" i="41"/>
  <c r="Q16" i="41"/>
  <c r="BG5" i="27"/>
  <c r="Q63" i="41"/>
  <c r="Q12" i="44"/>
  <c r="Q57" i="41"/>
  <c r="Q52" i="41"/>
  <c r="Q14" i="44"/>
  <c r="Q41" i="41"/>
  <c r="M3" i="43"/>
  <c r="Q15" i="44"/>
  <c r="Q26" i="41"/>
  <c r="Q13" i="41"/>
  <c r="Q55" i="41"/>
  <c r="BF5" i="27"/>
  <c r="Q17" i="41"/>
  <c r="Q54" i="41"/>
  <c r="Q6" i="44"/>
  <c r="Q11" i="44"/>
  <c r="Q61" i="41"/>
  <c r="Q24" i="41"/>
  <c r="Q5" i="44"/>
  <c r="Q3" i="41"/>
  <c r="Q23" i="41"/>
  <c r="Q4" i="41"/>
  <c r="Q60" i="41"/>
  <c r="Q30" i="41"/>
  <c r="Q18" i="41"/>
  <c r="Q9" i="41"/>
  <c r="Q27" i="41"/>
  <c r="Q28" i="41"/>
  <c r="Q48" i="41"/>
  <c r="Q39" i="41"/>
  <c r="Q50" i="41"/>
  <c r="I62" i="6" l="1"/>
  <c r="I58" i="6"/>
  <c r="I54" i="6"/>
  <c r="I50" i="6"/>
  <c r="I46" i="6"/>
  <c r="I42" i="6"/>
  <c r="I38" i="6"/>
  <c r="I57" i="6"/>
  <c r="I49" i="6"/>
  <c r="I37" i="6"/>
  <c r="I61" i="6"/>
  <c r="I53" i="6"/>
  <c r="I45" i="6"/>
  <c r="I41" i="6"/>
  <c r="I60" i="6"/>
  <c r="I52" i="6"/>
  <c r="I44" i="6"/>
  <c r="I36" i="6"/>
  <c r="I56" i="6"/>
  <c r="I48" i="6"/>
  <c r="I40" i="6"/>
  <c r="I63" i="6"/>
  <c r="I59" i="6"/>
  <c r="I51" i="6"/>
  <c r="I47" i="6"/>
  <c r="I43" i="6"/>
  <c r="I39" i="6"/>
  <c r="I35" i="6"/>
  <c r="I55" i="6"/>
  <c r="I24" i="6"/>
  <c r="I9" i="6"/>
  <c r="I31" i="6"/>
  <c r="I23" i="6"/>
  <c r="I7" i="6"/>
  <c r="I28" i="6"/>
  <c r="I12" i="6"/>
  <c r="I27" i="6"/>
  <c r="I19" i="6"/>
  <c r="I15" i="6"/>
  <c r="I11" i="6"/>
  <c r="I30" i="6"/>
  <c r="I26" i="6"/>
  <c r="I22" i="6"/>
  <c r="I18" i="6"/>
  <c r="I14" i="6"/>
  <c r="I8" i="6"/>
  <c r="I6" i="6"/>
  <c r="I29" i="6"/>
  <c r="I25" i="6"/>
  <c r="I21" i="6"/>
  <c r="I17" i="6"/>
  <c r="I13" i="6"/>
  <c r="I10" i="6"/>
  <c r="I4" i="6"/>
  <c r="I32" i="6"/>
  <c r="I20" i="6"/>
  <c r="I16" i="6"/>
  <c r="I3" i="6"/>
  <c r="J5" i="6"/>
  <c r="J34" i="6"/>
  <c r="I34" i="6"/>
  <c r="I65" i="6"/>
  <c r="BH5" i="27"/>
  <c r="BF64" i="27"/>
  <c r="R5" i="6"/>
  <c r="BG64" i="27"/>
  <c r="BI5" i="27" l="1"/>
  <c r="N5" i="6" l="1"/>
  <c r="J67" i="6" l="1"/>
  <c r="Q5" i="41"/>
  <c r="I5" i="6" l="1"/>
  <c r="D70" i="40"/>
  <c r="U35" i="40"/>
  <c r="U20" i="40"/>
  <c r="U63" i="40"/>
  <c r="U45" i="40"/>
  <c r="U30" i="40"/>
  <c r="U11" i="40"/>
  <c r="U60" i="40"/>
  <c r="U28" i="40"/>
  <c r="U7" i="40"/>
  <c r="U6" i="40"/>
  <c r="U25" i="40"/>
  <c r="U36" i="40"/>
  <c r="U56" i="40"/>
  <c r="U13" i="40"/>
  <c r="U17" i="40"/>
  <c r="U32" i="40"/>
  <c r="U49" i="40"/>
  <c r="U61" i="40"/>
  <c r="U9" i="40"/>
  <c r="U27" i="40"/>
  <c r="U18" i="40"/>
  <c r="U37" i="40"/>
  <c r="U44" i="40"/>
  <c r="U58" i="40"/>
  <c r="U54" i="40"/>
  <c r="U42" i="40"/>
  <c r="U34" i="40"/>
  <c r="U62" i="40"/>
  <c r="U10" i="40"/>
  <c r="U4" i="40"/>
  <c r="U50" i="40"/>
  <c r="U48" i="40"/>
  <c r="U38" i="40"/>
  <c r="U46" i="40"/>
  <c r="U26" i="40"/>
  <c r="U40" i="40"/>
  <c r="U29" i="40"/>
  <c r="U19" i="40"/>
  <c r="U8" i="40"/>
  <c r="U3" i="40"/>
  <c r="U39" i="40"/>
  <c r="U43" i="40"/>
  <c r="U55" i="40"/>
  <c r="U12" i="40"/>
  <c r="U22" i="40"/>
  <c r="U57" i="40"/>
  <c r="U14" i="40"/>
  <c r="U47" i="40"/>
  <c r="U24" i="40"/>
  <c r="U41" i="40"/>
  <c r="U59" i="40"/>
  <c r="U51" i="40"/>
  <c r="U21" i="40"/>
  <c r="U31" i="40"/>
  <c r="U23" i="40"/>
  <c r="U15" i="40"/>
  <c r="U52" i="40"/>
  <c r="U53" i="40"/>
  <c r="U16" i="40"/>
  <c r="H59" i="6" l="1"/>
  <c r="H62" i="6"/>
  <c r="H58" i="6"/>
  <c r="H54" i="6"/>
  <c r="H50" i="6"/>
  <c r="H46" i="6"/>
  <c r="H42" i="6"/>
  <c r="H38" i="6"/>
  <c r="H53" i="6"/>
  <c r="H49" i="6"/>
  <c r="H45" i="6"/>
  <c r="H41" i="6"/>
  <c r="H37" i="6"/>
  <c r="H61" i="6"/>
  <c r="H60" i="6"/>
  <c r="H56" i="6"/>
  <c r="H52" i="6"/>
  <c r="H48" i="6"/>
  <c r="H44" i="6"/>
  <c r="H40" i="6"/>
  <c r="H36" i="6"/>
  <c r="H57" i="6"/>
  <c r="H55" i="6"/>
  <c r="H51" i="6"/>
  <c r="H47" i="6"/>
  <c r="H43" i="6"/>
  <c r="H39" i="6"/>
  <c r="H35" i="6"/>
  <c r="H63" i="6"/>
  <c r="H28" i="6"/>
  <c r="H31" i="6"/>
  <c r="H27" i="6"/>
  <c r="H23" i="6"/>
  <c r="H19" i="6"/>
  <c r="H15" i="6"/>
  <c r="H11" i="6"/>
  <c r="H7" i="6"/>
  <c r="H30" i="6"/>
  <c r="H18" i="6"/>
  <c r="H14" i="6"/>
  <c r="H8" i="6"/>
  <c r="H6" i="6"/>
  <c r="H26" i="6"/>
  <c r="H29" i="6"/>
  <c r="H25" i="6"/>
  <c r="H21" i="6"/>
  <c r="H17" i="6"/>
  <c r="H13" i="6"/>
  <c r="H10" i="6"/>
  <c r="H4" i="6"/>
  <c r="H22" i="6"/>
  <c r="H24" i="6"/>
  <c r="H20" i="6"/>
  <c r="H16" i="6"/>
  <c r="H12" i="6"/>
  <c r="H9" i="6"/>
  <c r="H3" i="6"/>
  <c r="H32" i="6"/>
  <c r="H34" i="6"/>
  <c r="H65" i="6"/>
  <c r="U5" i="40"/>
  <c r="H5" i="6" l="1"/>
  <c r="I67" i="6"/>
  <c r="D70" i="39"/>
  <c r="K41" i="39"/>
  <c r="K19" i="39"/>
  <c r="K20" i="39"/>
  <c r="K61" i="39"/>
  <c r="K28" i="39"/>
  <c r="K29" i="39"/>
  <c r="K3" i="39"/>
  <c r="K7" i="39"/>
  <c r="K15" i="39"/>
  <c r="K59" i="39"/>
  <c r="K5" i="39"/>
  <c r="K40" i="39"/>
  <c r="K54" i="39"/>
  <c r="K9" i="39"/>
  <c r="K34" i="39"/>
  <c r="K18" i="39"/>
  <c r="K31" i="39"/>
  <c r="K37" i="39"/>
  <c r="K38" i="39"/>
  <c r="K63" i="39"/>
  <c r="K60" i="39"/>
  <c r="K16" i="39"/>
  <c r="K11" i="39"/>
  <c r="K13" i="39"/>
  <c r="K48" i="39"/>
  <c r="K44" i="39"/>
  <c r="K36" i="39"/>
  <c r="K47" i="39"/>
  <c r="K57" i="39"/>
  <c r="K14" i="39"/>
  <c r="K62" i="39"/>
  <c r="K8" i="39"/>
  <c r="K50" i="39"/>
  <c r="K32" i="39"/>
  <c r="K22" i="39"/>
  <c r="K42" i="39"/>
  <c r="K49" i="39"/>
  <c r="K6" i="39"/>
  <c r="K56" i="39"/>
  <c r="K53" i="39"/>
  <c r="K35" i="39"/>
  <c r="K24" i="39"/>
  <c r="K4" i="39"/>
  <c r="K25" i="39"/>
  <c r="K52" i="39"/>
  <c r="K17" i="39"/>
  <c r="K21" i="39"/>
  <c r="K46" i="39"/>
  <c r="K58" i="39"/>
  <c r="K45" i="39"/>
  <c r="K10" i="39"/>
  <c r="K12" i="39"/>
  <c r="K27" i="39"/>
  <c r="K26" i="39"/>
  <c r="K51" i="39"/>
  <c r="K23" i="39"/>
  <c r="K30" i="39"/>
  <c r="K55" i="39"/>
  <c r="K43" i="39"/>
  <c r="K39" i="39"/>
  <c r="G59" i="6" l="1"/>
  <c r="G43" i="6"/>
  <c r="G58" i="6"/>
  <c r="G50" i="6"/>
  <c r="G42" i="6"/>
  <c r="G57" i="6"/>
  <c r="G56" i="6"/>
  <c r="G48" i="6"/>
  <c r="G40" i="6"/>
  <c r="G55" i="6"/>
  <c r="G39" i="6"/>
  <c r="G49" i="6"/>
  <c r="G63" i="6"/>
  <c r="G47" i="6"/>
  <c r="G62" i="6"/>
  <c r="G54" i="6"/>
  <c r="G46" i="6"/>
  <c r="G38" i="6"/>
  <c r="G41" i="6"/>
  <c r="G61" i="6"/>
  <c r="G53" i="6"/>
  <c r="G45" i="6"/>
  <c r="G37" i="6"/>
  <c r="G60" i="6"/>
  <c r="G52" i="6"/>
  <c r="G44" i="6"/>
  <c r="G36" i="6"/>
  <c r="G51" i="6"/>
  <c r="G35" i="6"/>
  <c r="G7" i="6"/>
  <c r="G30" i="6"/>
  <c r="G26" i="6"/>
  <c r="G22" i="6"/>
  <c r="G18" i="6"/>
  <c r="G14" i="6"/>
  <c r="G8" i="6"/>
  <c r="G6" i="6"/>
  <c r="G19" i="6"/>
  <c r="G23" i="6"/>
  <c r="G25" i="6"/>
  <c r="G17" i="6"/>
  <c r="G4" i="6"/>
  <c r="G27" i="6"/>
  <c r="G10" i="6"/>
  <c r="G31" i="6"/>
  <c r="G11" i="6"/>
  <c r="G29" i="6"/>
  <c r="G21" i="6"/>
  <c r="G13" i="6"/>
  <c r="G32" i="6"/>
  <c r="G28" i="6"/>
  <c r="G24" i="6"/>
  <c r="G20" i="6"/>
  <c r="G16" i="6"/>
  <c r="G12" i="6"/>
  <c r="G9" i="6"/>
  <c r="G3" i="6"/>
  <c r="G15" i="6"/>
  <c r="G5" i="6"/>
  <c r="G34" i="6"/>
  <c r="G65" i="6"/>
  <c r="H67" i="6"/>
  <c r="D70" i="38"/>
  <c r="E66" i="6"/>
  <c r="E64" i="6"/>
  <c r="D70" i="36"/>
  <c r="G19" i="3"/>
  <c r="I19" i="3"/>
  <c r="I18" i="3"/>
  <c r="G18" i="3"/>
  <c r="G17" i="3"/>
  <c r="I17" i="3"/>
  <c r="H69" i="27"/>
  <c r="H67" i="27"/>
  <c r="I67" i="27"/>
  <c r="H14" i="3"/>
  <c r="C66" i="6"/>
  <c r="D64" i="6"/>
  <c r="C64" i="6"/>
  <c r="O65" i="27"/>
  <c r="N65" i="27"/>
  <c r="M65" i="27"/>
  <c r="L65" i="27"/>
  <c r="K65" i="27"/>
  <c r="J65" i="27"/>
  <c r="I65" i="27"/>
  <c r="H65" i="27"/>
  <c r="G65" i="27"/>
  <c r="E65" i="27"/>
  <c r="D65" i="27"/>
  <c r="C65" i="27"/>
  <c r="D70" i="5"/>
  <c r="N66" i="6"/>
  <c r="N65" i="6"/>
  <c r="N64" i="6"/>
  <c r="D70" i="1"/>
  <c r="I14" i="3"/>
  <c r="G14" i="3"/>
  <c r="AC15" i="5"/>
  <c r="Q22" i="38"/>
  <c r="Q31" i="38"/>
  <c r="Q25" i="38"/>
  <c r="AC19" i="5"/>
  <c r="Q11" i="38"/>
  <c r="Q14" i="38"/>
  <c r="Q10" i="38"/>
  <c r="Q30" i="38"/>
  <c r="AC17" i="5"/>
  <c r="Q3" i="38"/>
  <c r="AC18" i="5"/>
  <c r="Q40" i="38"/>
  <c r="AC8" i="5"/>
  <c r="AC14" i="5"/>
  <c r="Q12" i="38"/>
  <c r="Q13" i="38"/>
  <c r="Q21" i="38"/>
  <c r="AC27" i="5"/>
  <c r="Q29" i="38"/>
  <c r="AC24" i="5"/>
  <c r="AC7" i="5"/>
  <c r="AC9" i="5"/>
  <c r="Q7" i="38"/>
  <c r="AB37" i="36"/>
  <c r="Q28" i="38"/>
  <c r="Q8" i="38"/>
  <c r="Q38" i="38"/>
  <c r="Q27" i="38"/>
  <c r="Q26" i="38"/>
  <c r="AC25" i="5"/>
  <c r="Q19" i="38"/>
  <c r="Q36" i="38"/>
  <c r="Q37" i="38"/>
  <c r="Q18" i="38"/>
  <c r="AC4" i="5"/>
  <c r="Q43" i="38"/>
  <c r="AC30" i="5"/>
  <c r="Q44" i="38"/>
  <c r="Q42" i="38"/>
  <c r="Q35" i="38"/>
  <c r="Q49" i="38"/>
  <c r="AC23" i="5"/>
  <c r="AC31" i="5"/>
  <c r="AC20" i="5"/>
  <c r="Q46" i="38"/>
  <c r="AC21" i="5"/>
  <c r="Q17" i="38"/>
  <c r="AC3" i="5"/>
  <c r="AC11" i="5"/>
  <c r="AC13" i="5"/>
  <c r="AC10" i="5"/>
  <c r="Q24" i="38"/>
  <c r="AC32" i="5"/>
  <c r="Q47" i="38"/>
  <c r="AC22" i="5"/>
  <c r="Q32" i="38"/>
  <c r="Q23" i="38"/>
  <c r="AC56" i="5"/>
  <c r="Q39" i="38"/>
  <c r="Q4" i="38"/>
  <c r="AC12" i="5"/>
  <c r="Q16" i="38"/>
  <c r="Q15" i="38"/>
  <c r="AB58" i="36"/>
  <c r="Q9" i="38"/>
  <c r="AC6" i="5"/>
  <c r="Q41" i="38"/>
  <c r="AC28" i="5"/>
  <c r="Q45" i="38"/>
  <c r="AC26" i="5"/>
  <c r="Q48" i="38"/>
  <c r="Q20" i="38"/>
  <c r="AC16" i="5"/>
  <c r="Q6" i="38"/>
  <c r="AC29" i="5"/>
  <c r="F11" i="6" l="1"/>
  <c r="F23" i="6"/>
  <c r="F18" i="6"/>
  <c r="F21" i="6"/>
  <c r="F8" i="6"/>
  <c r="F32" i="6"/>
  <c r="F9" i="6"/>
  <c r="F12" i="6"/>
  <c r="F49" i="6"/>
  <c r="F20" i="6"/>
  <c r="F25" i="6"/>
  <c r="F28" i="6"/>
  <c r="F40" i="6"/>
  <c r="F6" i="6"/>
  <c r="F45" i="6"/>
  <c r="F14" i="6"/>
  <c r="F38" i="6"/>
  <c r="F39" i="6"/>
  <c r="F3" i="6"/>
  <c r="F41" i="6"/>
  <c r="F31" i="6"/>
  <c r="F30" i="6"/>
  <c r="F26" i="6"/>
  <c r="F29" i="6"/>
  <c r="F27" i="6"/>
  <c r="F22" i="6"/>
  <c r="F15" i="6"/>
  <c r="F16" i="6"/>
  <c r="F10" i="6"/>
  <c r="F19" i="6"/>
  <c r="F4" i="6"/>
  <c r="F48" i="6"/>
  <c r="F35" i="6"/>
  <c r="F47" i="6"/>
  <c r="F37" i="6"/>
  <c r="F44" i="6"/>
  <c r="F13" i="6"/>
  <c r="F7" i="6"/>
  <c r="F17" i="6"/>
  <c r="F36" i="6"/>
  <c r="F42" i="6"/>
  <c r="F43" i="6"/>
  <c r="F46" i="6"/>
  <c r="F24" i="6"/>
  <c r="AB48" i="36"/>
  <c r="AB46" i="36"/>
  <c r="AB19" i="36"/>
  <c r="AC50" i="5"/>
  <c r="E19" i="6" l="1"/>
  <c r="AC40" i="5"/>
  <c r="AB59" i="36"/>
  <c r="AB50" i="36"/>
  <c r="AC43" i="5"/>
  <c r="AB60" i="36"/>
  <c r="AB24" i="36"/>
  <c r="E24" i="6" l="1"/>
  <c r="AC41" i="5"/>
  <c r="AB25" i="36"/>
  <c r="E25" i="6" l="1"/>
  <c r="AB45" i="36"/>
  <c r="AB7" i="36"/>
  <c r="AB4" i="36"/>
  <c r="AB3" i="36"/>
  <c r="E4" i="6" l="1"/>
  <c r="E7" i="6"/>
  <c r="AC52" i="5"/>
  <c r="AB31" i="36"/>
  <c r="E31" i="6" l="1"/>
  <c r="AB53" i="36"/>
  <c r="AB13" i="36"/>
  <c r="AC45" i="5"/>
  <c r="AB51" i="36"/>
  <c r="AB27" i="36"/>
  <c r="E27" i="6" l="1"/>
  <c r="E13" i="6"/>
  <c r="AB63" i="36"/>
  <c r="AB55" i="36"/>
  <c r="AB18" i="36"/>
  <c r="AC37" i="5"/>
  <c r="E18" i="6" l="1"/>
  <c r="AC46" i="5"/>
  <c r="AB9" i="36"/>
  <c r="E9" i="6" l="1"/>
  <c r="AB21" i="36"/>
  <c r="AB17" i="36"/>
  <c r="AB35" i="36"/>
  <c r="AB6" i="36"/>
  <c r="AC48" i="5"/>
  <c r="E21" i="6" l="1"/>
  <c r="E17" i="6"/>
  <c r="E6" i="6"/>
  <c r="AC57" i="5"/>
  <c r="AC38" i="5"/>
  <c r="AC47" i="5"/>
  <c r="AB62" i="36"/>
  <c r="AC36" i="5"/>
  <c r="AB26" i="36"/>
  <c r="AB40" i="36"/>
  <c r="AB49" i="36"/>
  <c r="AB43" i="36"/>
  <c r="AC49" i="5"/>
  <c r="E26" i="6" l="1"/>
  <c r="AB23" i="36"/>
  <c r="AB39" i="36"/>
  <c r="AB41" i="36"/>
  <c r="E23" i="6" l="1"/>
  <c r="AB10" i="36"/>
  <c r="AC62" i="5"/>
  <c r="AB15" i="36"/>
  <c r="AC59" i="5"/>
  <c r="E10" i="6" l="1"/>
  <c r="E15" i="6"/>
  <c r="AB14" i="36"/>
  <c r="AB30" i="36"/>
  <c r="AC44" i="5"/>
  <c r="E14" i="6" l="1"/>
  <c r="E30" i="6"/>
  <c r="AB61" i="36"/>
  <c r="AB28" i="36"/>
  <c r="E28" i="6" l="1"/>
  <c r="AB22" i="36"/>
  <c r="AB12" i="36"/>
  <c r="AC42" i="5"/>
  <c r="AC35" i="5"/>
  <c r="AB20" i="36"/>
  <c r="AB29" i="36"/>
  <c r="AB36" i="36"/>
  <c r="AB54" i="36"/>
  <c r="E22" i="6" l="1"/>
  <c r="E12" i="6"/>
  <c r="E29" i="6"/>
  <c r="E20" i="6"/>
  <c r="AB8" i="36"/>
  <c r="AB42" i="36"/>
  <c r="Q57" i="38"/>
  <c r="AC61" i="5"/>
  <c r="AB44" i="36"/>
  <c r="AC39" i="5"/>
  <c r="E8" i="6" l="1"/>
  <c r="AC63" i="5"/>
  <c r="AB11" i="36"/>
  <c r="AC58" i="5"/>
  <c r="E11" i="6" l="1"/>
  <c r="AB16" i="36"/>
  <c r="AB56" i="36"/>
  <c r="AB52" i="36"/>
  <c r="AC54" i="5"/>
  <c r="AB57" i="36"/>
  <c r="AC53" i="5"/>
  <c r="AC60" i="5"/>
  <c r="AC55" i="5"/>
  <c r="AB38" i="36"/>
  <c r="AC51" i="5"/>
  <c r="AB47" i="36"/>
  <c r="E16" i="6" l="1"/>
  <c r="AB32" i="36"/>
  <c r="E32" i="6" l="1"/>
  <c r="D27" i="6"/>
  <c r="D15" i="6"/>
  <c r="D18" i="6"/>
  <c r="D16" i="6"/>
  <c r="D24" i="6"/>
  <c r="D9" i="6"/>
  <c r="D12" i="6"/>
  <c r="D8" i="6"/>
  <c r="D30" i="6"/>
  <c r="D23" i="6"/>
  <c r="D28" i="6"/>
  <c r="D13" i="6"/>
  <c r="D7" i="6"/>
  <c r="D29" i="6"/>
  <c r="D21" i="6"/>
  <c r="D10" i="6"/>
  <c r="D26" i="6"/>
  <c r="D6" i="6"/>
  <c r="D19" i="6"/>
  <c r="D17" i="6"/>
  <c r="D4" i="6"/>
  <c r="D11" i="6"/>
  <c r="D32" i="6"/>
  <c r="D20" i="6"/>
  <c r="D31" i="6"/>
  <c r="D25" i="6"/>
  <c r="D22" i="6"/>
  <c r="D14" i="6"/>
  <c r="D54" i="6"/>
  <c r="D62" i="6"/>
  <c r="D52" i="6"/>
  <c r="D48" i="6"/>
  <c r="D61" i="6"/>
  <c r="D38" i="6"/>
  <c r="D42" i="6"/>
  <c r="D57" i="6"/>
  <c r="D56" i="6"/>
  <c r="D37" i="6"/>
  <c r="D40" i="6"/>
  <c r="D43" i="6"/>
  <c r="D35" i="6"/>
  <c r="D44" i="6"/>
  <c r="D41" i="6"/>
  <c r="D58" i="6"/>
  <c r="D59" i="6"/>
  <c r="D55" i="6"/>
  <c r="D45" i="6"/>
  <c r="D36" i="6"/>
  <c r="D63" i="6"/>
  <c r="D60" i="6"/>
  <c r="D39" i="6"/>
  <c r="D51" i="6"/>
  <c r="D50" i="6"/>
  <c r="D53" i="6"/>
  <c r="D47" i="6"/>
  <c r="D3" i="6"/>
  <c r="D49" i="6"/>
  <c r="D46" i="6"/>
  <c r="E58" i="6"/>
  <c r="E54" i="6"/>
  <c r="E61" i="6"/>
  <c r="E57" i="6"/>
  <c r="E53" i="6"/>
  <c r="E49" i="6"/>
  <c r="E45" i="6"/>
  <c r="E41" i="6"/>
  <c r="E37" i="6"/>
  <c r="E38" i="6"/>
  <c r="E42" i="6"/>
  <c r="E60" i="6"/>
  <c r="E56" i="6"/>
  <c r="E52" i="6"/>
  <c r="E48" i="6"/>
  <c r="E44" i="6"/>
  <c r="E40" i="6"/>
  <c r="E36" i="6"/>
  <c r="E50" i="6"/>
  <c r="E62" i="6"/>
  <c r="E59" i="6"/>
  <c r="E55" i="6"/>
  <c r="E51" i="6"/>
  <c r="E47" i="6"/>
  <c r="E43" i="6"/>
  <c r="E39" i="6"/>
  <c r="E35" i="6"/>
  <c r="E46" i="6"/>
  <c r="E63" i="6"/>
  <c r="E3" i="6"/>
  <c r="F57" i="6"/>
  <c r="Q60" i="38"/>
  <c r="Q53" i="38"/>
  <c r="Q50" i="38"/>
  <c r="Q62" i="38"/>
  <c r="Q55" i="38"/>
  <c r="AB34" i="36"/>
  <c r="Q56" i="38"/>
  <c r="Q34" i="38"/>
  <c r="Q51" i="38"/>
  <c r="Q54" i="38"/>
  <c r="Q61" i="38"/>
  <c r="Q52" i="38"/>
  <c r="Q59" i="38"/>
  <c r="Q58" i="38"/>
  <c r="Q63" i="38"/>
  <c r="P43" i="6" l="1"/>
  <c r="O43" i="6"/>
  <c r="W43" i="6" s="1"/>
  <c r="X43" i="6" s="1"/>
  <c r="P40" i="6"/>
  <c r="O40" i="6"/>
  <c r="W40" i="6" s="1"/>
  <c r="X40" i="6" s="1"/>
  <c r="O37" i="6"/>
  <c r="W37" i="6" s="1"/>
  <c r="X37" i="6" s="1"/>
  <c r="P37" i="6"/>
  <c r="P29" i="6"/>
  <c r="O29" i="6"/>
  <c r="O27" i="6"/>
  <c r="P27" i="6"/>
  <c r="P9" i="6"/>
  <c r="O9" i="6"/>
  <c r="O6" i="6"/>
  <c r="P6" i="6"/>
  <c r="O31" i="6"/>
  <c r="P31" i="6"/>
  <c r="P46" i="6"/>
  <c r="O46" i="6"/>
  <c r="W46" i="6" s="1"/>
  <c r="X46" i="6" s="1"/>
  <c r="O47" i="6"/>
  <c r="W47" i="6" s="1"/>
  <c r="X47" i="6" s="1"/>
  <c r="P47" i="6"/>
  <c r="P44" i="6"/>
  <c r="O44" i="6"/>
  <c r="W44" i="6" s="1"/>
  <c r="X44" i="6" s="1"/>
  <c r="O41" i="6"/>
  <c r="W41" i="6" s="1"/>
  <c r="X41" i="6" s="1"/>
  <c r="P41" i="6"/>
  <c r="P8" i="6"/>
  <c r="O8" i="6"/>
  <c r="P26" i="6"/>
  <c r="O26" i="6"/>
  <c r="O28" i="6"/>
  <c r="P28" i="6"/>
  <c r="P4" i="6"/>
  <c r="O4" i="6"/>
  <c r="P3" i="6"/>
  <c r="O3" i="6"/>
  <c r="O35" i="6"/>
  <c r="W35" i="6" s="1"/>
  <c r="X35" i="6" s="1"/>
  <c r="P35" i="6"/>
  <c r="O48" i="6"/>
  <c r="W48" i="6" s="1"/>
  <c r="X48" i="6" s="1"/>
  <c r="P48" i="6"/>
  <c r="P42" i="6"/>
  <c r="O42" i="6"/>
  <c r="W42" i="6" s="1"/>
  <c r="X42" i="6" s="1"/>
  <c r="O45" i="6"/>
  <c r="W45" i="6" s="1"/>
  <c r="X45" i="6" s="1"/>
  <c r="P45" i="6"/>
  <c r="O32" i="6"/>
  <c r="P32" i="6"/>
  <c r="O7" i="6"/>
  <c r="P7" i="6"/>
  <c r="P30" i="6"/>
  <c r="O30" i="6"/>
  <c r="P39" i="6"/>
  <c r="O39" i="6"/>
  <c r="W39" i="6" s="1"/>
  <c r="X39" i="6" s="1"/>
  <c r="P36" i="6"/>
  <c r="O36" i="6"/>
  <c r="W36" i="6" s="1"/>
  <c r="X36" i="6" s="1"/>
  <c r="O38" i="6"/>
  <c r="W38" i="6" s="1"/>
  <c r="X38" i="6" s="1"/>
  <c r="P38" i="6"/>
  <c r="O10" i="6"/>
  <c r="P10" i="6"/>
  <c r="F51" i="6"/>
  <c r="F53" i="6"/>
  <c r="F61" i="6"/>
  <c r="F63" i="6"/>
  <c r="F59" i="6"/>
  <c r="F50" i="6"/>
  <c r="F55" i="6"/>
  <c r="F52" i="6"/>
  <c r="F58" i="6"/>
  <c r="F62" i="6"/>
  <c r="F60" i="6"/>
  <c r="F56" i="6"/>
  <c r="F54" i="6"/>
  <c r="T66" i="6"/>
  <c r="T64" i="6"/>
  <c r="S66" i="6"/>
  <c r="S64" i="6"/>
  <c r="U66" i="6"/>
  <c r="U64" i="6"/>
  <c r="F34" i="6"/>
  <c r="F65" i="6"/>
  <c r="E34" i="6"/>
  <c r="D65" i="6"/>
  <c r="C65" i="6"/>
  <c r="E65" i="6"/>
  <c r="J17" i="3"/>
  <c r="J18" i="3"/>
  <c r="J19" i="3"/>
  <c r="K5" i="1"/>
  <c r="C22" i="6" l="1"/>
  <c r="S8" i="6"/>
  <c r="T8" i="6"/>
  <c r="W8" i="6"/>
  <c r="X8" i="6" s="1"/>
  <c r="S30" i="6"/>
  <c r="T30" i="6"/>
  <c r="W30" i="6"/>
  <c r="X30" i="6" s="1"/>
  <c r="S29" i="6"/>
  <c r="T29" i="6"/>
  <c r="W29" i="6"/>
  <c r="X29" i="6" s="1"/>
  <c r="T10" i="6"/>
  <c r="S10" i="6"/>
  <c r="W10" i="6"/>
  <c r="X10" i="6" s="1"/>
  <c r="S32" i="6"/>
  <c r="T32" i="6"/>
  <c r="W32" i="6"/>
  <c r="X32" i="6" s="1"/>
  <c r="T27" i="6"/>
  <c r="S27" i="6"/>
  <c r="W27" i="6"/>
  <c r="X27" i="6" s="1"/>
  <c r="T3" i="6"/>
  <c r="S3" i="6"/>
  <c r="W3" i="6"/>
  <c r="X3" i="6" s="1"/>
  <c r="T26" i="6"/>
  <c r="S26" i="6"/>
  <c r="W26" i="6"/>
  <c r="X26" i="6" s="1"/>
  <c r="S9" i="6"/>
  <c r="T9" i="6"/>
  <c r="W9" i="6"/>
  <c r="X9" i="6" s="1"/>
  <c r="T4" i="6"/>
  <c r="S4" i="6"/>
  <c r="W4" i="6"/>
  <c r="X4" i="6" s="1"/>
  <c r="T7" i="6"/>
  <c r="S7" i="6"/>
  <c r="W7" i="6"/>
  <c r="X7" i="6" s="1"/>
  <c r="T31" i="6"/>
  <c r="S31" i="6"/>
  <c r="W31" i="6"/>
  <c r="X31" i="6" s="1"/>
  <c r="T28" i="6"/>
  <c r="S28" i="6"/>
  <c r="W28" i="6"/>
  <c r="X28" i="6" s="1"/>
  <c r="S6" i="6"/>
  <c r="T6" i="6"/>
  <c r="W6" i="6"/>
  <c r="X6" i="6" s="1"/>
  <c r="U7" i="6"/>
  <c r="U30" i="6"/>
  <c r="U27" i="6"/>
  <c r="U8" i="6"/>
  <c r="U26" i="6"/>
  <c r="U32" i="6"/>
  <c r="U28" i="6"/>
  <c r="U4" i="6"/>
  <c r="U29" i="6"/>
  <c r="U31" i="6"/>
  <c r="U6" i="6"/>
  <c r="U9" i="6"/>
  <c r="U3" i="6"/>
  <c r="U10" i="6"/>
  <c r="S42" i="6"/>
  <c r="S48" i="6"/>
  <c r="S40" i="6"/>
  <c r="S46" i="6"/>
  <c r="S44" i="6"/>
  <c r="S39" i="6"/>
  <c r="S36" i="6"/>
  <c r="S41" i="6"/>
  <c r="S45" i="6"/>
  <c r="S47" i="6"/>
  <c r="S37" i="6"/>
  <c r="S38" i="6"/>
  <c r="S43" i="6"/>
  <c r="S35" i="6"/>
  <c r="T36" i="6"/>
  <c r="T48" i="6"/>
  <c r="T38" i="6"/>
  <c r="T42" i="6"/>
  <c r="T44" i="6"/>
  <c r="T46" i="6"/>
  <c r="T41" i="6"/>
  <c r="T39" i="6"/>
  <c r="T47" i="6"/>
  <c r="T40" i="6"/>
  <c r="T37" i="6"/>
  <c r="T43" i="6"/>
  <c r="T45" i="6"/>
  <c r="T35" i="6"/>
  <c r="U48" i="6"/>
  <c r="U43" i="6"/>
  <c r="U44" i="6"/>
  <c r="U40" i="6"/>
  <c r="U46" i="6"/>
  <c r="U38" i="6"/>
  <c r="U42" i="6"/>
  <c r="U41" i="6"/>
  <c r="U36" i="6"/>
  <c r="U35" i="6"/>
  <c r="U39" i="6"/>
  <c r="U47" i="6"/>
  <c r="U45" i="6"/>
  <c r="U37" i="6"/>
  <c r="T65" i="6"/>
  <c r="S65" i="6"/>
  <c r="U65" i="6"/>
  <c r="AB5" i="36"/>
  <c r="Q5" i="38"/>
  <c r="Y10" i="6"/>
  <c r="Y32" i="6"/>
  <c r="Y45" i="6"/>
  <c r="Y3" i="6"/>
  <c r="Y46" i="6"/>
  <c r="Y44" i="6"/>
  <c r="Y36" i="6"/>
  <c r="Y40" i="6"/>
  <c r="Y42" i="6"/>
  <c r="Y8" i="6"/>
  <c r="Y9" i="6"/>
  <c r="Y43" i="6"/>
  <c r="Y28" i="6"/>
  <c r="Y48" i="6"/>
  <c r="Y29" i="6"/>
  <c r="E5" i="6" l="1"/>
  <c r="C24" i="6"/>
  <c r="C19" i="6"/>
  <c r="C16" i="6"/>
  <c r="C21" i="6"/>
  <c r="C14" i="6"/>
  <c r="C11" i="6"/>
  <c r="C12" i="6"/>
  <c r="C20" i="6"/>
  <c r="C18" i="6"/>
  <c r="N34" i="1"/>
  <c r="Y35" i="6"/>
  <c r="Y37" i="6"/>
  <c r="Y6" i="6"/>
  <c r="Y47" i="6"/>
  <c r="Y38" i="6"/>
  <c r="Y7" i="6"/>
  <c r="Y31" i="6"/>
  <c r="Y41" i="6"/>
  <c r="Y26" i="6"/>
  <c r="Y30" i="6"/>
  <c r="Y4" i="6"/>
  <c r="Y27" i="6"/>
  <c r="AC34" i="5"/>
  <c r="Y39" i="6"/>
  <c r="C13" i="6" l="1"/>
  <c r="C25" i="6"/>
  <c r="C23" i="6"/>
  <c r="C17" i="6"/>
  <c r="C5" i="6"/>
  <c r="AC5" i="5"/>
  <c r="D5" i="6" l="1"/>
  <c r="C15" i="6"/>
  <c r="C58" i="6"/>
  <c r="C52" i="6"/>
  <c r="C51" i="6"/>
  <c r="C57" i="6"/>
  <c r="C54" i="6"/>
  <c r="C53" i="6"/>
  <c r="C61" i="6"/>
  <c r="C60" i="6"/>
  <c r="C50" i="6"/>
  <c r="C55" i="6"/>
  <c r="C56" i="6"/>
  <c r="C59" i="6"/>
  <c r="C49" i="6"/>
  <c r="C63" i="6"/>
  <c r="C62" i="6"/>
  <c r="O22" i="6"/>
  <c r="P22" i="6"/>
  <c r="F5" i="6"/>
  <c r="D34" i="6"/>
  <c r="C34" i="6"/>
  <c r="V5" i="6"/>
  <c r="BI64" i="27"/>
  <c r="Y22" i="6"/>
  <c r="O53" i="6" l="1"/>
  <c r="P53" i="6"/>
  <c r="P62" i="6"/>
  <c r="O62" i="6"/>
  <c r="O55" i="6"/>
  <c r="P55" i="6"/>
  <c r="O14" i="6"/>
  <c r="P14" i="6"/>
  <c r="O17" i="6"/>
  <c r="P17" i="6"/>
  <c r="O52" i="6"/>
  <c r="P52" i="6"/>
  <c r="O18" i="6"/>
  <c r="P18" i="6"/>
  <c r="P24" i="6"/>
  <c r="O24" i="6"/>
  <c r="O20" i="6"/>
  <c r="P20" i="6"/>
  <c r="O13" i="6"/>
  <c r="P13" i="6"/>
  <c r="O19" i="6"/>
  <c r="P19" i="6"/>
  <c r="O49" i="6"/>
  <c r="P49" i="6"/>
  <c r="O56" i="6"/>
  <c r="P56" i="6"/>
  <c r="O60" i="6"/>
  <c r="P60" i="6"/>
  <c r="O23" i="6"/>
  <c r="P23" i="6"/>
  <c r="P61" i="6"/>
  <c r="O61" i="6"/>
  <c r="O57" i="6"/>
  <c r="P57" i="6"/>
  <c r="P63" i="6"/>
  <c r="O63" i="6"/>
  <c r="O59" i="6"/>
  <c r="P59" i="6"/>
  <c r="O50" i="6"/>
  <c r="P50" i="6"/>
  <c r="P16" i="6"/>
  <c r="O16" i="6"/>
  <c r="O54" i="6"/>
  <c r="P54" i="6"/>
  <c r="P12" i="6"/>
  <c r="O12" i="6"/>
  <c r="O58" i="6"/>
  <c r="P58" i="6"/>
  <c r="U22" i="6"/>
  <c r="S22" i="6"/>
  <c r="T22" i="6"/>
  <c r="W22" i="6"/>
  <c r="X22" i="6" s="1"/>
  <c r="O15" i="6"/>
  <c r="P15" i="6"/>
  <c r="O11" i="6"/>
  <c r="P11" i="6"/>
  <c r="O21" i="6"/>
  <c r="P21" i="6"/>
  <c r="O25" i="6"/>
  <c r="P25" i="6"/>
  <c r="O51" i="6"/>
  <c r="P51" i="6"/>
  <c r="E67" i="6"/>
  <c r="D67" i="6"/>
  <c r="C67" i="6"/>
  <c r="P34" i="6"/>
  <c r="O34" i="6"/>
  <c r="O5" i="6"/>
  <c r="P5" i="6"/>
  <c r="Y62" i="6"/>
  <c r="Y59" i="6"/>
  <c r="Y57" i="6"/>
  <c r="Y53" i="6"/>
  <c r="Y14" i="6"/>
  <c r="Y25" i="6"/>
  <c r="Y49" i="6"/>
  <c r="Y12" i="6"/>
  <c r="Y54" i="6"/>
  <c r="Y21" i="6"/>
  <c r="Y61" i="6"/>
  <c r="Y56" i="6"/>
  <c r="Y19" i="6"/>
  <c r="Y51" i="6"/>
  <c r="Y63" i="6"/>
  <c r="Y58" i="6"/>
  <c r="Y16" i="6"/>
  <c r="Y20" i="6"/>
  <c r="Y52" i="6"/>
  <c r="Y17" i="6"/>
  <c r="Y11" i="6"/>
  <c r="Y13" i="6"/>
  <c r="Y18" i="6"/>
  <c r="Y5" i="6"/>
  <c r="Y55" i="6"/>
  <c r="Y60" i="6"/>
  <c r="Y24" i="6"/>
  <c r="Y34" i="6"/>
  <c r="Y50" i="6"/>
  <c r="W15" i="6" l="1"/>
  <c r="X15" i="6" s="1"/>
  <c r="U15" i="6"/>
  <c r="S15" i="6"/>
  <c r="T15" i="6"/>
  <c r="T13" i="6"/>
  <c r="U13" i="6"/>
  <c r="W13" i="6"/>
  <c r="X13" i="6" s="1"/>
  <c r="S13" i="6"/>
  <c r="U17" i="6"/>
  <c r="T17" i="6"/>
  <c r="W17" i="6"/>
  <c r="X17" i="6" s="1"/>
  <c r="S17" i="6"/>
  <c r="W54" i="6"/>
  <c r="X54" i="6" s="1"/>
  <c r="S54" i="6"/>
  <c r="T54" i="6"/>
  <c r="U54" i="6"/>
  <c r="W55" i="6"/>
  <c r="X55" i="6" s="1"/>
  <c r="U55" i="6"/>
  <c r="S55" i="6"/>
  <c r="T55" i="6"/>
  <c r="W60" i="6"/>
  <c r="X60" i="6" s="1"/>
  <c r="S60" i="6"/>
  <c r="T60" i="6"/>
  <c r="U60" i="6"/>
  <c r="S25" i="6"/>
  <c r="T25" i="6"/>
  <c r="U25" i="6"/>
  <c r="W25" i="6"/>
  <c r="X25" i="6" s="1"/>
  <c r="W50" i="6"/>
  <c r="X50" i="6" s="1"/>
  <c r="U50" i="6"/>
  <c r="T50" i="6"/>
  <c r="S50" i="6"/>
  <c r="W57" i="6"/>
  <c r="X57" i="6" s="1"/>
  <c r="U57" i="6"/>
  <c r="S57" i="6"/>
  <c r="T57" i="6"/>
  <c r="W62" i="6"/>
  <c r="X62" i="6" s="1"/>
  <c r="U62" i="6"/>
  <c r="S62" i="6"/>
  <c r="T62" i="6"/>
  <c r="S11" i="6"/>
  <c r="T11" i="6"/>
  <c r="U11" i="6"/>
  <c r="W11" i="6"/>
  <c r="X11" i="6" s="1"/>
  <c r="T23" i="6"/>
  <c r="S23" i="6"/>
  <c r="W23" i="6"/>
  <c r="X23" i="6" s="1"/>
  <c r="U23" i="6"/>
  <c r="W12" i="6"/>
  <c r="X12" i="6" s="1"/>
  <c r="S12" i="6"/>
  <c r="T12" i="6"/>
  <c r="U12" i="6"/>
  <c r="W51" i="6"/>
  <c r="X51" i="6" s="1"/>
  <c r="T51" i="6"/>
  <c r="U51" i="6"/>
  <c r="S51" i="6"/>
  <c r="W61" i="6"/>
  <c r="X61" i="6" s="1"/>
  <c r="T61" i="6"/>
  <c r="U61" i="6"/>
  <c r="S61" i="6"/>
  <c r="W58" i="6"/>
  <c r="X58" i="6" s="1"/>
  <c r="U58" i="6"/>
  <c r="T58" i="6"/>
  <c r="S58" i="6"/>
  <c r="W19" i="6"/>
  <c r="X19" i="6" s="1"/>
  <c r="S19" i="6"/>
  <c r="T19" i="6"/>
  <c r="U19" i="6"/>
  <c r="T21" i="6"/>
  <c r="S21" i="6"/>
  <c r="U21" i="6"/>
  <c r="W21" i="6"/>
  <c r="X21" i="6" s="1"/>
  <c r="W59" i="6"/>
  <c r="X59" i="6" s="1"/>
  <c r="U59" i="6"/>
  <c r="T59" i="6"/>
  <c r="S59" i="6"/>
  <c r="W56" i="6"/>
  <c r="X56" i="6" s="1"/>
  <c r="S56" i="6"/>
  <c r="T56" i="6"/>
  <c r="U56" i="6"/>
  <c r="W20" i="6"/>
  <c r="X20" i="6" s="1"/>
  <c r="S20" i="6"/>
  <c r="T20" i="6"/>
  <c r="U20" i="6"/>
  <c r="T18" i="6"/>
  <c r="S18" i="6"/>
  <c r="U18" i="6"/>
  <c r="W18" i="6"/>
  <c r="X18" i="6" s="1"/>
  <c r="W49" i="6"/>
  <c r="X49" i="6" s="1"/>
  <c r="T49" i="6"/>
  <c r="U49" i="6"/>
  <c r="S49" i="6"/>
  <c r="S16" i="6"/>
  <c r="T16" i="6"/>
  <c r="U16" i="6"/>
  <c r="W16" i="6"/>
  <c r="X16" i="6" s="1"/>
  <c r="W53" i="6"/>
  <c r="X53" i="6" s="1"/>
  <c r="T53" i="6"/>
  <c r="U53" i="6"/>
  <c r="S53" i="6"/>
  <c r="W63" i="6"/>
  <c r="X63" i="6" s="1"/>
  <c r="S63" i="6"/>
  <c r="T63" i="6"/>
  <c r="U63" i="6"/>
  <c r="U24" i="6"/>
  <c r="S24" i="6"/>
  <c r="T24" i="6"/>
  <c r="W24" i="6"/>
  <c r="X24" i="6" s="1"/>
  <c r="W52" i="6"/>
  <c r="X52" i="6" s="1"/>
  <c r="S52" i="6"/>
  <c r="T52" i="6"/>
  <c r="U52" i="6"/>
  <c r="S14" i="6"/>
  <c r="W14" i="6"/>
  <c r="X14" i="6" s="1"/>
  <c r="T14" i="6"/>
  <c r="U14" i="6"/>
  <c r="W5" i="6"/>
  <c r="X5" i="6" s="1"/>
  <c r="U5" i="6"/>
  <c r="S5" i="6"/>
  <c r="T5" i="6"/>
  <c r="W34" i="6"/>
  <c r="X34" i="6" s="1"/>
  <c r="U34" i="6"/>
  <c r="S34" i="6"/>
  <c r="T34" i="6"/>
  <c r="G67" i="6"/>
  <c r="Y15" i="6"/>
  <c r="Y23" i="6"/>
  <c r="F67" i="6" l="1"/>
</calcChain>
</file>

<file path=xl/comments1.xml><?xml version="1.0" encoding="utf-8"?>
<comments xmlns="http://schemas.openxmlformats.org/spreadsheetml/2006/main">
  <authors>
    <author>Author</author>
  </authors>
  <commentList>
    <comment ref="F29" authorId="0" shapeId="0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https://github.com/ivan-uskov/C-labs/issues/13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https://github.com/ivan-uskov/C-labs/issues/14</t>
        </r>
      </text>
    </comment>
    <comment ref="H29" authorId="0" shapeId="0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https://github.com/ivan-uskov/C-labs/issues/14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C12" authorId="0" shapeId="0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Не сечет в shared_ptr, а пытается сдать задание, его использующее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https://github.com/ivan-uskov/C-labs/issues/15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J9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Баллы за StringStack обнулены в виду наличия варианта StringList  с бОльшим количеством баллов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M4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M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
</t>
        </r>
      </text>
    </comment>
    <comment ref="M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M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M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M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B24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Автоматом экзамен не ставить. Пусть сдает теорию</t>
        </r>
      </text>
    </comment>
    <comment ref="M27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M3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B4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Автоматом экзамен не ставить, пусть сдает теорию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M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M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M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M11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
</t>
        </r>
      </text>
    </comment>
    <comment ref="M1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M1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M14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M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</t>
        </r>
      </text>
    </comment>
    <comment ref="B1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Автоматом экзамен не ставить. Пусть сдает теорию</t>
        </r>
      </text>
    </comment>
    <comment ref="B4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Автоматом экзамен не ставить, пусть сдает теорию</t>
        </r>
      </text>
    </comment>
  </commentList>
</comments>
</file>

<file path=xl/sharedStrings.xml><?xml version="1.0" encoding="utf-8"?>
<sst xmlns="http://schemas.openxmlformats.org/spreadsheetml/2006/main" count="1967" uniqueCount="593">
  <si>
    <t>Total</t>
  </si>
  <si>
    <t>Bonus</t>
  </si>
  <si>
    <t>ФИО</t>
  </si>
  <si>
    <t>продолжительность</t>
  </si>
  <si>
    <t>РГР</t>
  </si>
  <si>
    <t>Дата выдачи задания</t>
  </si>
  <si>
    <t>Срок сдачи</t>
  </si>
  <si>
    <t>Раздел</t>
  </si>
  <si>
    <t>Форма контроля</t>
  </si>
  <si>
    <t>Макс. Балл</t>
  </si>
  <si>
    <t>Мин. балл</t>
  </si>
  <si>
    <t>Итого:</t>
  </si>
  <si>
    <t>Normalized</t>
  </si>
  <si>
    <t>Отлично:</t>
  </si>
  <si>
    <t>Хорошо:</t>
  </si>
  <si>
    <t>Удовлетворительно:</t>
  </si>
  <si>
    <t>Балл</t>
  </si>
  <si>
    <t>Норм.</t>
  </si>
  <si>
    <t>Норма</t>
  </si>
  <si>
    <t>Оценка</t>
  </si>
  <si>
    <t>ПС-21</t>
  </si>
  <si>
    <t>3</t>
  </si>
  <si>
    <t>-</t>
  </si>
  <si>
    <t>практика</t>
  </si>
  <si>
    <t>лекция</t>
  </si>
  <si>
    <t>Практика</t>
  </si>
  <si>
    <t>Лекция</t>
  </si>
  <si>
    <t>1</t>
  </si>
  <si>
    <t>2</t>
  </si>
  <si>
    <t>Итоги</t>
  </si>
  <si>
    <t>Лаб2</t>
  </si>
  <si>
    <t>Лаб3</t>
  </si>
  <si>
    <t>Лаб4</t>
  </si>
  <si>
    <t>Лаб5</t>
  </si>
  <si>
    <t>Норма на отлично</t>
  </si>
  <si>
    <t>Норма на хорошо</t>
  </si>
  <si>
    <t>Норма на удовлетворительно</t>
  </si>
  <si>
    <t>4</t>
  </si>
  <si>
    <t>5</t>
  </si>
  <si>
    <t>Лаб6</t>
  </si>
  <si>
    <t>Тест</t>
  </si>
  <si>
    <t>Посещаемость</t>
  </si>
  <si>
    <t>Посещено</t>
  </si>
  <si>
    <t>Пропущено</t>
  </si>
  <si>
    <t>%</t>
  </si>
  <si>
    <t>Итого</t>
  </si>
  <si>
    <t>Процент</t>
  </si>
  <si>
    <t>Test</t>
  </si>
  <si>
    <t>Бонус</t>
  </si>
  <si>
    <t>Пропуски</t>
  </si>
  <si>
    <t>|</t>
  </si>
  <si>
    <t>Качество учебы</t>
  </si>
  <si>
    <t>Средний балл</t>
  </si>
  <si>
    <t>Итоги (без посещаемости)</t>
  </si>
  <si>
    <t>2бонус</t>
  </si>
  <si>
    <t>1.1.copyfile</t>
  </si>
  <si>
    <t>1.2.compare</t>
  </si>
  <si>
    <t>1.3.findtext</t>
  </si>
  <si>
    <t>2.1.calcbits</t>
  </si>
  <si>
    <t>2.2.rotate</t>
  </si>
  <si>
    <t>2.3.bin2dec</t>
  </si>
  <si>
    <t>2.4.dec2bin</t>
  </si>
  <si>
    <t>2.5.flibpyte</t>
  </si>
  <si>
    <t>3.1.multmat</t>
  </si>
  <si>
    <t>3.2.invert</t>
  </si>
  <si>
    <t>4.1.rle</t>
  </si>
  <si>
    <t>Лабораторная работа №2</t>
  </si>
  <si>
    <t>1.vector</t>
  </si>
  <si>
    <t>1.1 TVSET</t>
  </si>
  <si>
    <t>Лабораторная работа №4</t>
  </si>
  <si>
    <t>1.1. Bodies</t>
  </si>
  <si>
    <t>1.2. shapes</t>
  </si>
  <si>
    <t>Лабораторная работа №6</t>
  </si>
  <si>
    <t>1.1.triangle</t>
  </si>
  <si>
    <t>1.2.solve</t>
  </si>
  <si>
    <t>1.1.sort2</t>
  </si>
  <si>
    <t>1.2.findmax</t>
  </si>
  <si>
    <t>1.3.findmaxex</t>
  </si>
  <si>
    <t>1.4arraysum</t>
  </si>
  <si>
    <t>2.1.myarray</t>
  </si>
  <si>
    <t>2.1.bonus=</t>
  </si>
  <si>
    <t>2.2.mystack</t>
  </si>
  <si>
    <t>3.1.people</t>
  </si>
  <si>
    <t>3.2.transport</t>
  </si>
  <si>
    <t>1.Calculator</t>
  </si>
  <si>
    <t>2.1.NumConv</t>
  </si>
  <si>
    <t>2.2.rus.base</t>
  </si>
  <si>
    <t>2.2.gender</t>
  </si>
  <si>
    <t>2.2.case</t>
  </si>
  <si>
    <t>2.2.anim/inanim</t>
  </si>
  <si>
    <t>2.2.cardinal/ordinal</t>
  </si>
  <si>
    <t>k=1.5 to all</t>
  </si>
  <si>
    <t>ргр</t>
  </si>
  <si>
    <t>1.1. прототип</t>
  </si>
  <si>
    <t>1.1. фабрика</t>
  </si>
  <si>
    <t>1.2. строитель</t>
  </si>
  <si>
    <t>2.1. Calculator</t>
  </si>
  <si>
    <t>2.2. house-main</t>
  </si>
  <si>
    <t>2.2. house-enum</t>
  </si>
  <si>
    <t>Андреева Наталья Евгеньевна</t>
  </si>
  <si>
    <t>Ванясин Никита Вадимович</t>
  </si>
  <si>
    <t>Геворкян Лилия Суреновна</t>
  </si>
  <si>
    <t>Герасимов Яков Анатольевич</t>
  </si>
  <si>
    <t>Домрачев Алексей Павлович</t>
  </si>
  <si>
    <t>Ермаков Александр Николаевич</t>
  </si>
  <si>
    <t>Зайцев Алексей Сергеевич</t>
  </si>
  <si>
    <t>Иванов Алексей Сергеевич</t>
  </si>
  <si>
    <t>Иванов Денис Владимирович</t>
  </si>
  <si>
    <t>Ильин Антон Михайлович</t>
  </si>
  <si>
    <t>Красильникова Анна Александровна</t>
  </si>
  <si>
    <t>Купоросов Роман Владимирович</t>
  </si>
  <si>
    <t>Курбанов Александр Эльдорович</t>
  </si>
  <si>
    <t>мамаев Дмитрий Николаевич</t>
  </si>
  <si>
    <t>Муравьев Алексей Георгиевич</t>
  </si>
  <si>
    <t>Наянов Сергей Александрович</t>
  </si>
  <si>
    <t>Орлов Кирилл Александрович</t>
  </si>
  <si>
    <t>Попов Александр Владимирович</t>
  </si>
  <si>
    <t>Пуркин Виктор Владимирович</t>
  </si>
  <si>
    <t>Рахманов Максат Розыевич</t>
  </si>
  <si>
    <t>Сушенцов Алексей Олегович</t>
  </si>
  <si>
    <t>Филимонов Александр Александрович</t>
  </si>
  <si>
    <t>Хакимова Люция Рависовна</t>
  </si>
  <si>
    <t>Шифанов Михаил Сергеевич</t>
  </si>
  <si>
    <t>Яровиков Игорь Александрович</t>
  </si>
  <si>
    <t>ПС-22</t>
  </si>
  <si>
    <t>Быкова О.Г.</t>
  </si>
  <si>
    <t>Ишуткина А.И.</t>
  </si>
  <si>
    <t>Иванов Е.Ю.</t>
  </si>
  <si>
    <t>Гаптуллин Д.Т.</t>
  </si>
  <si>
    <t>Опарин К.С.</t>
  </si>
  <si>
    <t>Михайлов А.С.</t>
  </si>
  <si>
    <t>Петров Ю.В.</t>
  </si>
  <si>
    <t>Самофеева Н.Ю.</t>
  </si>
  <si>
    <t>Грязин Н.Л.</t>
  </si>
  <si>
    <t>Лихачев А.Ю</t>
  </si>
  <si>
    <t>Смирнова М.А.</t>
  </si>
  <si>
    <t>Смирнов Д.О.</t>
  </si>
  <si>
    <t>Приемко А.Ю.</t>
  </si>
  <si>
    <t>Найденов К.М.</t>
  </si>
  <si>
    <t>Шубин А.А.</t>
  </si>
  <si>
    <t>Дьяконов Ю.В.</t>
  </si>
  <si>
    <t>Алексеев Н.А.</t>
  </si>
  <si>
    <t>Купцов К.А.</t>
  </si>
  <si>
    <t>Соловьев В.О</t>
  </si>
  <si>
    <t>после зачетной недели: 0.5</t>
  </si>
  <si>
    <t>после экзамена: 0.4</t>
  </si>
  <si>
    <t>Мошкина Екатерина Павловна</t>
  </si>
  <si>
    <t>Шадрин Сергей Андреевич</t>
  </si>
  <si>
    <t>Смовдаренко Анастасия Валерьевна</t>
  </si>
  <si>
    <t>Сушенцова Ксения Михайловна</t>
  </si>
  <si>
    <t>Бирюков Евгений Сергеевич</t>
  </si>
  <si>
    <t>Марьин Константин Леонидович</t>
  </si>
  <si>
    <t>Порядин Антон Евгеньевич</t>
  </si>
  <si>
    <t>Арнабердиев Авдыкерим Розыжумаевич</t>
  </si>
  <si>
    <t>Дополнительные задания</t>
  </si>
  <si>
    <t>1.2.vector3d</t>
  </si>
  <si>
    <t>1.1.complex</t>
  </si>
  <si>
    <t>Сроки сдачи и коэффициенты:</t>
  </si>
  <si>
    <t>Лабораторная работа №7</t>
  </si>
  <si>
    <t>Обязательные задания:</t>
  </si>
  <si>
    <t>До 18 мая (включительно): 1.1</t>
  </si>
  <si>
    <t>До 22 мая (включительно): 1.0</t>
  </si>
  <si>
    <t>До 25 мая (включительно): 0.9</t>
  </si>
  <si>
    <t>До 29 мая (включительно): 0.8</t>
  </si>
  <si>
    <t>После 29 мая: 0.6</t>
  </si>
  <si>
    <t>До 22 мая (включительно): 1.1</t>
  </si>
  <si>
    <t>До 25 мая (включительно): 1.0</t>
  </si>
  <si>
    <t>До 29 мая (включительно): 0.9</t>
  </si>
  <si>
    <t>До 1 июня (включительно): 0.8</t>
  </si>
  <si>
    <t>После 1 июня: 0.6</t>
  </si>
  <si>
    <t>Обязательная часть:</t>
  </si>
  <si>
    <t>До 29 мая включительно: 1.1</t>
  </si>
  <si>
    <t>До 5 июня включительно: 1.0</t>
  </si>
  <si>
    <t>До экзамена: 0.9</t>
  </si>
  <si>
    <t>До пересдачи: 0.8</t>
  </si>
  <si>
    <t>После пересдачи: 0.6</t>
  </si>
  <si>
    <t>Дополнительная часть:</t>
  </si>
  <si>
    <t>До 5 июня включительно: 1.1</t>
  </si>
  <si>
    <t>До экзамена: 1.0</t>
  </si>
  <si>
    <t>Лаб9</t>
  </si>
  <si>
    <t>пр</t>
  </si>
  <si>
    <t>Лабораторная работа №1</t>
  </si>
  <si>
    <t>Лаб1</t>
  </si>
  <si>
    <t>1.3.solve3</t>
  </si>
  <si>
    <t>1.4.solve4</t>
  </si>
  <si>
    <t>Доп</t>
  </si>
  <si>
    <t>АЗАРОВА АННА НИКОЛАЕВНА</t>
  </si>
  <si>
    <t>БОЧКАРЕВ МАКСИМ АЛЕКСЕЕВИЧ</t>
  </si>
  <si>
    <t>ВАРЛАМОВ АЛЕКСАНДР СЕРГЕЕВИЧ</t>
  </si>
  <si>
    <t>КАЛИННИКОВ АНДРЕЙ МИХАЙЛОВИЧ</t>
  </si>
  <si>
    <t>КОРАБЛЕВ ДАНИЛ ВИКТОРОВИЧ</t>
  </si>
  <si>
    <t>КРУПИН АНТОН ЮРЬЕВИЧ</t>
  </si>
  <si>
    <t>НИГМАТУЛЛИНА РУФИНА МАРАТОВНА</t>
  </si>
  <si>
    <t>НИКИТИН МАКСИМ ПЕТРОВИЧ</t>
  </si>
  <si>
    <t>НИКИФОРОВ ПАВЕЛ ДМИТРИЕВИЧ</t>
  </si>
  <si>
    <t>НОРКИН НИКОЛАЙ АНАТОЛЬЕВИЧ</t>
  </si>
  <si>
    <t>СМИРНОВ ЕВГЕНИЙ СЕРГЕЕВИЧ</t>
  </si>
  <si>
    <t>ХОРИКОВА ВАЛЕРИЯ НИКОЛАЕВНА</t>
  </si>
  <si>
    <t>ХОХОЛКОВ ПАВЕЛ СЕРГЕЕВИЧ</t>
  </si>
  <si>
    <t>ЧЕРНУХА ЕГОР МИХАЙЛОВИЧ</t>
  </si>
  <si>
    <t>ШИРЯЕВ АНДРЕЙ ИГОРЕВИЧ</t>
  </si>
  <si>
    <t>ЯРОВИКОВ ГРИГОРИЙ ВЯЧЕСЛАВОВИЧ</t>
  </si>
  <si>
    <t>БОЧАРОВ ИВАН ИГОРЕВИЧ</t>
  </si>
  <si>
    <t>ГАЛИМЬЯНОВ РИФАТ РАДИКОВИЧ</t>
  </si>
  <si>
    <t>ГУСЕВ АЛЕКСАНДР АНДРЕЕВИЧ</t>
  </si>
  <si>
    <t>ДОЛГАНОВА ДАРЬЯ АНДРЕЕВНА</t>
  </si>
  <si>
    <t>ДЬЯКОНОВ ЮРИЙ ВЯЧЕСЛАВОВИЧ</t>
  </si>
  <si>
    <t>КРАСИЛЬНИКОВА АННА АЛЕКСАНДРОВНА</t>
  </si>
  <si>
    <t>КУЗНЕЦОВ АЛЕКСЕЙ ДМИТРИЕВИЧ</t>
  </si>
  <si>
    <t>КУКЛИН НИКИТА АЛЕКСАНДРОВИЧ</t>
  </si>
  <si>
    <t>НИКИТИН РАДИК ЮРЬЕВИЧ</t>
  </si>
  <si>
    <t>ПОЗДЕЕВ СЕРГЕЙ ВЛАДИМИРОВИЧ</t>
  </si>
  <si>
    <t>ПОМЕРАНЦЕВ АЛЕКСАНДР ОЛЕГОВИЧ</t>
  </si>
  <si>
    <t>СМОТРИН МИХАИЛ ЕВГЕНЬЕВИЧ</t>
  </si>
  <si>
    <t>СТЕПАНЕНКО СЕРГЕЙ СЕРГЕЕВИЧ</t>
  </si>
  <si>
    <t>СУМАРОКОВА МАРИНА ЮРЬЕВНА</t>
  </si>
  <si>
    <t>ТОЛСТУХИН СЕРГЕЙ ГЕННАДЬЕВИЧ</t>
  </si>
  <si>
    <t>ЯГОДАРОВ АЛЕКСЕЙ ВИТАЛЬЕВИЧ</t>
  </si>
  <si>
    <t>Сроки сдачи и коэффициенты</t>
  </si>
  <si>
    <t>Дополнительные задания:</t>
  </si>
  <si>
    <t>Обязательные</t>
  </si>
  <si>
    <t>Дополнительные</t>
  </si>
  <si>
    <t>1.+sort</t>
  </si>
  <si>
    <t>Всего занятий</t>
  </si>
  <si>
    <t>1.2. Car</t>
  </si>
  <si>
    <t>2.Rect</t>
  </si>
  <si>
    <t>2.rect+canvas</t>
  </si>
  <si>
    <t>Basic</t>
  </si>
  <si>
    <t>I/O</t>
  </si>
  <si>
    <t>STL</t>
  </si>
  <si>
    <t>Classes</t>
  </si>
  <si>
    <t>Inheritance</t>
  </si>
  <si>
    <t>Exceptions</t>
  </si>
  <si>
    <t>Operations</t>
  </si>
  <si>
    <t>Templates</t>
  </si>
  <si>
    <t>Unit Testing</t>
  </si>
  <si>
    <t>% Атт.1</t>
  </si>
  <si>
    <t>% Атт.2</t>
  </si>
  <si>
    <t>% Атт.3</t>
  </si>
  <si>
    <t>% пос-ти</t>
  </si>
  <si>
    <t>% произв-ти</t>
  </si>
  <si>
    <t>Лабораторная работа №5</t>
  </si>
  <si>
    <t>1.3.rational</t>
  </si>
  <si>
    <t>Обязательные задания</t>
  </si>
  <si>
    <t>прием долгов</t>
  </si>
  <si>
    <t>Баллы</t>
  </si>
  <si>
    <t>Не появлялась ни разу</t>
  </si>
  <si>
    <t>Не появлялся ни разу</t>
  </si>
  <si>
    <t>Не появлялся с середины марта</t>
  </si>
  <si>
    <t>Не появлялся с середины апреля</t>
  </si>
  <si>
    <t>Не появлялся с начала апреля</t>
  </si>
  <si>
    <t>Не появлялся с начала марта</t>
  </si>
  <si>
    <t>Ни разу не появлялся</t>
  </si>
  <si>
    <t>Долги</t>
  </si>
  <si>
    <t xml:space="preserve">Лабы 4, 5 и 8 - досдать
Лабы 6 и 7 - по нулям </t>
  </si>
  <si>
    <t>Лабы 2, 3, 4 - досдать
Лабы 5, 6, 7, 8 - по нулям</t>
  </si>
  <si>
    <t>Лабы 2, 4 - досдать
Лабы 3, 5, 6, 7, 8 - по нулям</t>
  </si>
  <si>
    <t>ничего не сдано</t>
  </si>
  <si>
    <t>Лабы 1, 2, 3, 4, 6 - досдать
Лабы 5, 7, 8 - по нулям</t>
  </si>
  <si>
    <t>Лабы 1, 2, 3 - досдать
Лабы 4, 5, 6, 7, 8 - по нулям</t>
  </si>
  <si>
    <t>Лаба 2 - досдать
Лабы 3, 4, 5, 6, 7, 8 - по нулям</t>
  </si>
  <si>
    <t>Лаба 1 - досдать
Лабы 2, 3, 4, 5, 6, 7, 8 - по нулям</t>
  </si>
  <si>
    <t>Нет способностей к программированию</t>
  </si>
  <si>
    <t>Способный, но безответственно относится к учебе</t>
  </si>
  <si>
    <t>Низкие способности к программированию</t>
  </si>
  <si>
    <t>Способности к программированию невысокие</t>
  </si>
  <si>
    <t>Примечание</t>
  </si>
  <si>
    <t>Ленивый</t>
  </si>
  <si>
    <t>1.4.time</t>
  </si>
  <si>
    <t>1.5.date</t>
  </si>
  <si>
    <t>2.base.String</t>
  </si>
  <si>
    <t>2.1.it_basics</t>
  </si>
  <si>
    <t>2.2.indexed_access</t>
  </si>
  <si>
    <t>2.3_reverse</t>
  </si>
  <si>
    <t>2.4.validation</t>
  </si>
  <si>
    <t>2.5.range-based for</t>
  </si>
  <si>
    <t>bonus</t>
  </si>
  <si>
    <t>Лабораторная работа №0</t>
  </si>
  <si>
    <t>Шобонова Ксения</t>
  </si>
  <si>
    <t>Закарая Илья</t>
  </si>
  <si>
    <t>Антонов Александр</t>
  </si>
  <si>
    <t>Ершов Дмитрий</t>
  </si>
  <si>
    <t>Клюжев Алексей</t>
  </si>
  <si>
    <t>Пурышев Александр</t>
  </si>
  <si>
    <t>Борисов Павел</t>
  </si>
  <si>
    <t>Краснов Дмитрий</t>
  </si>
  <si>
    <t>Нафиков Тахир</t>
  </si>
  <si>
    <t>Смирнов Роман</t>
  </si>
  <si>
    <t>Образцов Дмитрий</t>
  </si>
  <si>
    <t>Васюков Дмитрий</t>
  </si>
  <si>
    <t>Гаптулгазизова Алия</t>
  </si>
  <si>
    <t>Крупинова Ксения</t>
  </si>
  <si>
    <t>Лаб0</t>
  </si>
  <si>
    <t>Лаб7</t>
  </si>
  <si>
    <t>Лаб8</t>
  </si>
  <si>
    <t>1.4.replace</t>
  </si>
  <si>
    <t>1.5.join</t>
  </si>
  <si>
    <t>1.6.extract</t>
  </si>
  <si>
    <t>4.2.bmpinfo</t>
  </si>
  <si>
    <t>До 20 февраля 2015 включительно - 1,1</t>
  </si>
  <si>
    <t>До 23 февраля 2015 включительно - 1,0</t>
  </si>
  <si>
    <t>До 27 февраля 2015 включительно - 0,9</t>
  </si>
  <si>
    <t>До 2 марта 2015 включительно - 0,8</t>
  </si>
  <si>
    <t>До 6 марта 2015 включительно - 0,7</t>
  </si>
  <si>
    <t>До конца зачетной недели - 0,6</t>
  </si>
  <si>
    <t>До экзамена - 0,5</t>
  </si>
  <si>
    <t>После экзамена - 0,4</t>
  </si>
  <si>
    <t>До 23 февраля 2015 включительно - 1,1</t>
  </si>
  <si>
    <t>До 27 февраля 2015 включительно - 1,0</t>
  </si>
  <si>
    <t>До 2 марта 2015 включительно - 0,9</t>
  </si>
  <si>
    <t>До 6 марта 2015 включительно - 0,8</t>
  </si>
  <si>
    <t>До 9 марта 2015 включительно - 0,8</t>
  </si>
  <si>
    <t>До конца зачетной недели - 0,7</t>
  </si>
  <si>
    <t>Лабораторная работа №3</t>
  </si>
  <si>
    <t>Жиряков Кирилл Павлович</t>
  </si>
  <si>
    <t>Сафина Регина Рифатовна</t>
  </si>
  <si>
    <t>Иванов Никита Сергеевич</t>
  </si>
  <si>
    <t>Шмаров Максим Сергеевич</t>
  </si>
  <si>
    <t>Логинова Эльвира Владимировна</t>
  </si>
  <si>
    <t>Паршин Егор Владимирович</t>
  </si>
  <si>
    <t>Долгушев Евгений Дмитриевич</t>
  </si>
  <si>
    <t>Ефремов Сергей Валерьевич</t>
  </si>
  <si>
    <t>Кириллов Игорь Геннадьевич</t>
  </si>
  <si>
    <t>Поликарпов Евгений Александрович</t>
  </si>
  <si>
    <t>Богданов Дмитрий Андреевич</t>
  </si>
  <si>
    <t>Гавриленко Виктория Александровна</t>
  </si>
  <si>
    <t>Тухватуллин Денис Альбертович</t>
  </si>
  <si>
    <t>Веселов Роман Викторович</t>
  </si>
  <si>
    <t>Калинников Андрей Михайлович</t>
  </si>
  <si>
    <t>Коротков Марк Романович</t>
  </si>
  <si>
    <t>Винокуров Дмитрий Владимирович</t>
  </si>
  <si>
    <t>Алитов Владимир Валерьевич</t>
  </si>
  <si>
    <t>Корнев Владислав Алексеевич</t>
  </si>
  <si>
    <t>Ягодаров Александр Владимирович</t>
  </si>
  <si>
    <t>Миронов Алексей Владимирович</t>
  </si>
  <si>
    <t>Емельянов Михаил Николаевич</t>
  </si>
  <si>
    <t>Борисов Алексей Игоревич</t>
  </si>
  <si>
    <t>Лабораторная работа №8</t>
  </si>
  <si>
    <t>Поздеев</t>
  </si>
  <si>
    <t>Смирнов</t>
  </si>
  <si>
    <t>Бонус за шефство</t>
  </si>
  <si>
    <t>Github</t>
  </si>
  <si>
    <t>1.3.rational-bonus</t>
  </si>
  <si>
    <t>бонус за шефство</t>
  </si>
  <si>
    <t>Шефство</t>
  </si>
  <si>
    <t>Кузин Никита</t>
  </si>
  <si>
    <t>2.1.trim</t>
  </si>
  <si>
    <t>2.2.extraspace</t>
  </si>
  <si>
    <t>2.3.f&amp;r</t>
  </si>
  <si>
    <t>2.4.htmlenc</t>
  </si>
  <si>
    <t>2.5.htmldec</t>
  </si>
  <si>
    <t>3.1. freq.base</t>
  </si>
  <si>
    <t>3.1. freq.case</t>
  </si>
  <si>
    <t>3.2.dict</t>
  </si>
  <si>
    <t>3.2.dict-case</t>
  </si>
  <si>
    <t>4.1 cross_set</t>
  </si>
  <si>
    <t>4.2 sudents</t>
  </si>
  <si>
    <t>4.3 mat-base</t>
  </si>
  <si>
    <t>4.3mat-case</t>
  </si>
  <si>
    <t>4.4.primes</t>
  </si>
  <si>
    <t>6.Template</t>
  </si>
  <si>
    <t>1.5sortstrings</t>
  </si>
  <si>
    <t>1.6student</t>
  </si>
  <si>
    <t>1.7.HTTPUrl</t>
  </si>
  <si>
    <t>2.1.StringStack</t>
  </si>
  <si>
    <t>2.2.StringList</t>
  </si>
  <si>
    <t>Аникин Олег</t>
  </si>
  <si>
    <t>Бирюков Георгий</t>
  </si>
  <si>
    <t>Васильев Андрей</t>
  </si>
  <si>
    <t>Вещев Алексей</t>
  </si>
  <si>
    <t>Глазырин Владимир</t>
  </si>
  <si>
    <t>Кадошников Никита</t>
  </si>
  <si>
    <t>Колчин Илья</t>
  </si>
  <si>
    <t>Моторина Евгения</t>
  </si>
  <si>
    <t>Очеев Александр</t>
  </si>
  <si>
    <t>Патрушев Олег</t>
  </si>
  <si>
    <t>Печищев Владимир</t>
  </si>
  <si>
    <t>Поздеев Сергей</t>
  </si>
  <si>
    <t>Смиренский Андрей</t>
  </si>
  <si>
    <t>Сорокин Степан</t>
  </si>
  <si>
    <t>Степанова Надежда</t>
  </si>
  <si>
    <t>Царегородцева Екатерина</t>
  </si>
  <si>
    <t>Черных Ирина</t>
  </si>
  <si>
    <t>Чугунов Михаил</t>
  </si>
  <si>
    <t>Ямбатрова Ирина</t>
  </si>
  <si>
    <t>Гаранин Тимофей</t>
  </si>
  <si>
    <t>Илдаркин Алексей</t>
  </si>
  <si>
    <t>Князев Сергей</t>
  </si>
  <si>
    <t>Мулахметов Раниф</t>
  </si>
  <si>
    <t>Чибирев Александр</t>
  </si>
  <si>
    <t>Попов Данил</t>
  </si>
  <si>
    <t>Чешуин Михаил</t>
  </si>
  <si>
    <t>Емельянов Дмитрий</t>
  </si>
  <si>
    <t>Морозова Мария</t>
  </si>
  <si>
    <t>Якимычев Николай</t>
  </si>
  <si>
    <t>Полозова Евгения</t>
  </si>
  <si>
    <t>4.3.crypt</t>
  </si>
  <si>
    <t>5.1.live</t>
  </si>
  <si>
    <t>5.2.labirinth</t>
  </si>
  <si>
    <t>5.3.fill</t>
  </si>
  <si>
    <t>Кораблев Анатолий</t>
  </si>
  <si>
    <t>Кириенко Татьяна</t>
  </si>
  <si>
    <t>Бонусы</t>
  </si>
  <si>
    <t>Курзенева Ольга</t>
  </si>
  <si>
    <t>Ягодаров Александр</t>
  </si>
  <si>
    <t>2.7.radix</t>
  </si>
  <si>
    <t>3.2.two-way</t>
  </si>
  <si>
    <t>1.1.TVSET</t>
  </si>
  <si>
    <t>1.1.tv.revert</t>
  </si>
  <si>
    <t>1.1.tv.alias</t>
  </si>
  <si>
    <t>1.3.Rect</t>
  </si>
  <si>
    <t>1.3..rect+canvas</t>
  </si>
  <si>
    <t>2.Calc</t>
  </si>
  <si>
    <t>2.Calc+opt</t>
  </si>
  <si>
    <t>2.calc+stack</t>
  </si>
  <si>
    <t>Глушкин</t>
  </si>
  <si>
    <t>Кузнецова</t>
  </si>
  <si>
    <t>Соколов</t>
  </si>
  <si>
    <t>1.2.draw</t>
  </si>
  <si>
    <t>github</t>
  </si>
  <si>
    <t>Смирнов Евгений Сергеевич</t>
  </si>
  <si>
    <t>2.3.mylist</t>
  </si>
  <si>
    <t xml:space="preserve">Апакаева Яна        </t>
  </si>
  <si>
    <t xml:space="preserve">Васенин Денис       </t>
  </si>
  <si>
    <t xml:space="preserve">Васильев Алексей    </t>
  </si>
  <si>
    <t xml:space="preserve">Газизьянов Давлет   </t>
  </si>
  <si>
    <t xml:space="preserve">Илларионов Артем    </t>
  </si>
  <si>
    <t xml:space="preserve">Калагин Иван        </t>
  </si>
  <si>
    <t>Карнаухов Константин</t>
  </si>
  <si>
    <t xml:space="preserve">Кузнецов Вадим      </t>
  </si>
  <si>
    <t xml:space="preserve">Курбатов Дмитрий    </t>
  </si>
  <si>
    <t xml:space="preserve">Лелеков Алексей   </t>
  </si>
  <si>
    <t>Лопухова Анастасия</t>
  </si>
  <si>
    <t xml:space="preserve">Маринин Данил     </t>
  </si>
  <si>
    <t xml:space="preserve">Медведенко Ксения </t>
  </si>
  <si>
    <t xml:space="preserve">Мидин Эржан       </t>
  </si>
  <si>
    <t xml:space="preserve">Мошкин Никита     </t>
  </si>
  <si>
    <t xml:space="preserve">Образцов Дмитрий  </t>
  </si>
  <si>
    <t xml:space="preserve">Пекшеев Дмитрий   </t>
  </si>
  <si>
    <t xml:space="preserve">Попов Павел       </t>
  </si>
  <si>
    <t>Санников Егор</t>
  </si>
  <si>
    <t xml:space="preserve">Смирнов Антон     </t>
  </si>
  <si>
    <t xml:space="preserve">Смирнов Роман     </t>
  </si>
  <si>
    <t xml:space="preserve">Степаненко Сергей </t>
  </si>
  <si>
    <t xml:space="preserve">Хасанова Ильмира  </t>
  </si>
  <si>
    <t xml:space="preserve">Чаров Артур       </t>
  </si>
  <si>
    <t xml:space="preserve">Чернов Иван       </t>
  </si>
  <si>
    <t xml:space="preserve">Юн Александр      </t>
  </si>
  <si>
    <t xml:space="preserve">Якимов Александр  </t>
  </si>
  <si>
    <t>Афанасьев Денис</t>
  </si>
  <si>
    <t>Фурман А.А.</t>
  </si>
  <si>
    <t>Гинзбург В.Я.</t>
  </si>
  <si>
    <t>Красильникова О.А.</t>
  </si>
  <si>
    <t>Геворкян Е.С.</t>
  </si>
  <si>
    <t>Кублицкая Анна-Виталия Д.</t>
  </si>
  <si>
    <t>Прохорова В.Н.</t>
  </si>
  <si>
    <t>Романов И.В.</t>
  </si>
  <si>
    <t>Зайков М.Г.</t>
  </si>
  <si>
    <t>Каримов Т.М.</t>
  </si>
  <si>
    <t>Керимов Д.В.</t>
  </si>
  <si>
    <t>Лебедев А.С.</t>
  </si>
  <si>
    <t>Долганов В.Н.</t>
  </si>
  <si>
    <t>Сидоров А.В.</t>
  </si>
  <si>
    <t>Степанцев И.В.</t>
  </si>
  <si>
    <t>Андреишев И.И.</t>
  </si>
  <si>
    <t>Мухаметгалиев Р.Р.</t>
  </si>
  <si>
    <t>Аверков В.Н.</t>
  </si>
  <si>
    <t>Старовойтов А.А.</t>
  </si>
  <si>
    <t>Винокуренко Н.Г.</t>
  </si>
  <si>
    <t>Борисов Н.А.</t>
  </si>
  <si>
    <t>Стародубцева А.В.</t>
  </si>
  <si>
    <t>Никандрова М.А.</t>
  </si>
  <si>
    <t>Усков Иван Юрьевич</t>
  </si>
  <si>
    <t>Кублицкая Анна-Виталия Денисовна</t>
  </si>
  <si>
    <t>Кудрявцев Максим Анатольевич</t>
  </si>
  <si>
    <t>Луганский Петр Александрович</t>
  </si>
  <si>
    <t>Смоленцев Илья Владимирович</t>
  </si>
  <si>
    <t>Никитенко Алексей</t>
  </si>
  <si>
    <t>Андреишев Иван Ильич</t>
  </si>
  <si>
    <t>Борисов Николай Александрович</t>
  </si>
  <si>
    <t>Винокуренко Николай Геннадьевич</t>
  </si>
  <si>
    <t>Геворкян Елена Суреновна</t>
  </si>
  <si>
    <t>Гинзбург Владимир Яковлевич</t>
  </si>
  <si>
    <t>Газизьянов Артемий Дмитриевич</t>
  </si>
  <si>
    <t>Долганов Вадим Николаевич</t>
  </si>
  <si>
    <t>Зайков Максим Григорьевич</t>
  </si>
  <si>
    <t>Каримов Тимур Маратович</t>
  </si>
  <si>
    <t>Керимов Дмитрий В.</t>
  </si>
  <si>
    <t>Красильникова Ольга Алексеевна</t>
  </si>
  <si>
    <t>Лебедев Андрей Сергеевич</t>
  </si>
  <si>
    <t>Мухаметгалиев Ришат Р.</t>
  </si>
  <si>
    <t>Никандрова Мария Анатольевна</t>
  </si>
  <si>
    <t>Прохорова Виктория Николаевна</t>
  </si>
  <si>
    <t>Романов Илья Владимирович</t>
  </si>
  <si>
    <t>Сидоров Андрей Вениаминович</t>
  </si>
  <si>
    <t>Старовойтов Алексей Андреевич</t>
  </si>
  <si>
    <t>Стародубцева Анастасия Владимировна</t>
  </si>
  <si>
    <t>Фурман Антон Александрович</t>
  </si>
  <si>
    <t>До 28 сентября 2016 включительно - 1,1</t>
  </si>
  <si>
    <t>До 2 октября 2016 включительно - 1,0</t>
  </si>
  <si>
    <t>До 5 октября 2016 включительно - 0,9</t>
  </si>
  <si>
    <t>До 9 октября 2016 включительно - 0,8</t>
  </si>
  <si>
    <t>До 12 октября 2016 включительно - 0,7</t>
  </si>
  <si>
    <t>После 12 октября - 0,6</t>
  </si>
  <si>
    <t>До 5 октября 2016 включительно - 1,1</t>
  </si>
  <si>
    <t>До 9 октября 2016 включительно - 1,0</t>
  </si>
  <si>
    <t>До 12 октября 2016 включительно - 0,9</t>
  </si>
  <si>
    <t>До 16 октября 2016 включительно - 0,8</t>
  </si>
  <si>
    <t>До 19 октября 2016 включительно - 0,7</t>
  </si>
  <si>
    <t>После 19 октября - 0,6</t>
  </si>
  <si>
    <t>2.6.radix</t>
  </si>
  <si>
    <t>б</t>
  </si>
  <si>
    <t>Сроки сдачи* и коэффициенты**:</t>
  </si>
  <si>
    <t>До 16 октября 2016 включительно - 1,1</t>
  </si>
  <si>
    <t>До 19 октября 2016 включительно - 1,0</t>
  </si>
  <si>
    <t>До 23 октября 2016 включительно - 0,9</t>
  </si>
  <si>
    <t>До 26 октября 2016 включительно - 0,8</t>
  </si>
  <si>
    <t>До 30 октября 2016 включительно - 0,7</t>
  </si>
  <si>
    <t>После 30 октября - 0,6</t>
  </si>
  <si>
    <t>До 23 октября 2016 включительно - 1,1</t>
  </si>
  <si>
    <t>До 26 октября 2016 включительно - 1,0</t>
  </si>
  <si>
    <t>До 30 октября 2016 включительно - 0,9</t>
  </si>
  <si>
    <t>До 2 ноября 2016 включительно - 0,8</t>
  </si>
  <si>
    <t>До 6 ноября 2016 включительно - 0,7</t>
  </si>
  <si>
    <t>После 6 ноября - 0,6</t>
  </si>
  <si>
    <t>посвящение</t>
  </si>
  <si>
    <t>До 30 октября 2016 включительно - 1,1</t>
  </si>
  <si>
    <t>До 2 ноября 2016 включительно - 1,0</t>
  </si>
  <si>
    <t>До 6 ноября 2016 включительно - 0,9</t>
  </si>
  <si>
    <t>До 9 ноября 2016 включительно - 0,8</t>
  </si>
  <si>
    <t>До 13 ноября 2016 включительно - 0,7</t>
  </si>
  <si>
    <t>После 13 ноября 2016 - 0,6</t>
  </si>
  <si>
    <t>До 6 ноября 2016 включительно - 1,1</t>
  </si>
  <si>
    <t>До 9 ноября 2016 включительно - 1,0</t>
  </si>
  <si>
    <t>До 13 ноября 2016 включительно - 0,9</t>
  </si>
  <si>
    <t>До 16 ноября 2016 включительно - 0,8</t>
  </si>
  <si>
    <t>До 20 ноября 2016 включительно - 0,7</t>
  </si>
  <si>
    <t>После 20 ноября 2016 - 0,6</t>
  </si>
  <si>
    <t>автошкола</t>
  </si>
  <si>
    <t>Жиряков Кирилл</t>
  </si>
  <si>
    <t>Корнеев</t>
  </si>
  <si>
    <t>Полухин</t>
  </si>
  <si>
    <t>5.parseurl</t>
  </si>
  <si>
    <t>До 20 ноября 2016 включительно - 1,1</t>
  </si>
  <si>
    <t>До 24 ноября 2016 включительно - 1,0</t>
  </si>
  <si>
    <t>До 27 ноября 2016 включительно - 0,9</t>
  </si>
  <si>
    <t>До 1 декабря 2016 включительно - 0,8</t>
  </si>
  <si>
    <t>До 4 декабря 2016 включительно - 0,7</t>
  </si>
  <si>
    <t>После 4 декабря 2016 - 0,6</t>
  </si>
  <si>
    <t>Емельянов</t>
  </si>
  <si>
    <t>Жиряков</t>
  </si>
  <si>
    <t>Корнев</t>
  </si>
  <si>
    <t>Шобонова</t>
  </si>
  <si>
    <t>Емельянов Дмитрий Анатольевич</t>
  </si>
  <si>
    <t>До 30 ноября 2016 включительно: 1,1</t>
  </si>
  <si>
    <t>До 4 декабря 2016 включительно: 1,0</t>
  </si>
  <si>
    <t>До 7 декабря 2016 включительно: 0,9</t>
  </si>
  <si>
    <t>До 11 декабря 2016 включительно: 0,8</t>
  </si>
  <si>
    <t>До 14 декабря 2016 включительно: 0,7</t>
  </si>
  <si>
    <t>После 14 декабря: 0,6</t>
  </si>
  <si>
    <t>До 4 декабря 2016 включительно: 1,1</t>
  </si>
  <si>
    <t>До 7 декабря 2016 включительно: 1,0</t>
  </si>
  <si>
    <t>До 11 декабря 2016 включительно: 0,9</t>
  </si>
  <si>
    <t>До 14 декабря 2016 включительно: 0,8</t>
  </si>
  <si>
    <t>До 18 декабря 2016 включительно: 0,7</t>
  </si>
  <si>
    <t>После 18 декабря: 0,6</t>
  </si>
  <si>
    <t>До 14 декабря 2016 включительно: 1,1</t>
  </si>
  <si>
    <t>До 18 декабря 2016 включительно: 1,0</t>
  </si>
  <si>
    <t>До 21 декабря 2016 включительно: 0,9</t>
  </si>
  <si>
    <t>До 25 декабря 2016 включительно: 0,8</t>
  </si>
  <si>
    <t>До 28 декабря 2016 включительно: 0,7</t>
  </si>
  <si>
    <t>После 28 декабря 2016: 0,6</t>
  </si>
  <si>
    <t>До 18 декабря 2016 включительно: 1,1</t>
  </si>
  <si>
    <t>До 21 декабря 2016 включительно: 1,0</t>
  </si>
  <si>
    <t>До 25 декабря 2016 включительно: 0,9</t>
  </si>
  <si>
    <t>До 28 декабря 2016 включительно: 0,8</t>
  </si>
  <si>
    <t>До 1 января 2016 включительно: 0,7</t>
  </si>
  <si>
    <t>После 1 января 2016: 0,6</t>
  </si>
  <si>
    <t>???</t>
  </si>
  <si>
    <t>Мухаметгалиев Ришат Ринатович</t>
  </si>
  <si>
    <t>До 25 декабря 2016 включительно: 1,1</t>
  </si>
  <si>
    <t>До 28 декабря 2016 включительно: 1,0</t>
  </si>
  <si>
    <t>До 1 января 2017 включительно: 0,9</t>
  </si>
  <si>
    <t>До 11 января 2017 включительно: 0,8</t>
  </si>
  <si>
    <t>До 15 января 2017 включительно: 0,7</t>
  </si>
  <si>
    <t>После 15 января 2017: 0,6</t>
  </si>
  <si>
    <t>До 28 декабря 2016 включительно: 1,1</t>
  </si>
  <si>
    <t>До 1 января 2017 включительно: 1,0</t>
  </si>
  <si>
    <t>До 11 января 2017 включительно: 0,9</t>
  </si>
  <si>
    <t>До 15 января 2017 включительно: 0,8</t>
  </si>
  <si>
    <t>До 18 января 2017 включительно: 0,7</t>
  </si>
  <si>
    <t>После 18 января 2017: 0,6</t>
  </si>
  <si>
    <t>Exam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</si>
</sst>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\ _р_._-;\-* #,##0.00\ _р_._-;_-* &quot;-&quot;??\ _р_._-;_-@_-"/>
    <numFmt numFmtId="165" formatCode="0.0%"/>
    <numFmt numFmtId="166" formatCode="0.0"/>
    <numFmt numFmtId="167" formatCode="0.000"/>
    <numFmt numFmtId="168" formatCode="0.0000"/>
  </numFmts>
  <fonts count="22" x14ac:knownFonts="1">
    <font>
      <sz val="11"/>
      <color theme="1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b/>
      <sz val="11"/>
      <color indexed="8"/>
      <name val="Calibri"/>
      <family val="2"/>
      <charset val="204"/>
    </font>
    <font>
      <sz val="11"/>
      <color indexed="8"/>
      <name val="Verdana"/>
      <family val="2"/>
      <charset val="204"/>
    </font>
    <font>
      <sz val="11"/>
      <color indexed="8"/>
      <name val="Calibri"/>
      <family val="2"/>
      <charset val="204"/>
    </font>
    <font>
      <sz val="11"/>
      <color indexed="10"/>
      <name val="Calibri"/>
      <family val="2"/>
      <charset val="204"/>
    </font>
    <font>
      <b/>
      <sz val="10"/>
      <color indexed="8"/>
      <name val="Calibri"/>
      <family val="2"/>
      <charset val="204"/>
    </font>
    <font>
      <b/>
      <sz val="11"/>
      <name val="Calibri"/>
      <family val="2"/>
      <charset val="204"/>
    </font>
    <font>
      <sz val="8"/>
      <name val="Calibri"/>
      <family val="2"/>
      <charset val="204"/>
    </font>
    <font>
      <sz val="9"/>
      <color rgb="FF2D2D2D"/>
      <name val="Verdana"/>
      <family val="2"/>
      <charset val="204"/>
    </font>
    <font>
      <b/>
      <sz val="9"/>
      <color rgb="FF2D2D2D"/>
      <name val="Verdan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color rgb="FF000000"/>
      <name val="Tahoma"/>
      <family val="2"/>
      <charset val="204"/>
    </font>
    <font>
      <b/>
      <sz val="8"/>
      <color rgb="FF000000"/>
      <name val="Tahoma"/>
      <family val="2"/>
      <charset val="204"/>
    </font>
    <font>
      <sz val="10"/>
      <color rgb="FF000000"/>
      <name val="Open Sans"/>
      <family val="2"/>
      <charset val="204"/>
    </font>
    <font>
      <b/>
      <sz val="10"/>
      <color rgb="FF000000"/>
      <name val="Open Sans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charset val="204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21" fillId="21" borderId="0" applyNumberFormat="0" applyBorder="0" applyAlignment="0" applyProtection="0"/>
  </cellStyleXfs>
  <cellXfs count="142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1" xfId="0" applyBorder="1"/>
    <xf numFmtId="0" fontId="2" fillId="0" borderId="1" xfId="0" applyFont="1" applyBorder="1"/>
    <xf numFmtId="2" fontId="0" fillId="0" borderId="1" xfId="0" applyNumberFormat="1" applyBorder="1"/>
    <xf numFmtId="0" fontId="0" fillId="2" borderId="1" xfId="0" applyFill="1" applyBorder="1"/>
    <xf numFmtId="2" fontId="2" fillId="0" borderId="1" xfId="0" applyNumberFormat="1" applyFont="1" applyBorder="1"/>
    <xf numFmtId="2" fontId="0" fillId="0" borderId="1" xfId="0" applyNumberFormat="1" applyBorder="1" applyAlignment="1">
      <alignment horizontal="center"/>
    </xf>
    <xf numFmtId="0" fontId="0" fillId="0" borderId="0" xfId="0" applyFill="1" applyBorder="1"/>
    <xf numFmtId="49" fontId="2" fillId="3" borderId="1" xfId="0" applyNumberFormat="1" applyFont="1" applyFill="1" applyBorder="1" applyAlignment="1">
      <alignment horizontal="center"/>
    </xf>
    <xf numFmtId="0" fontId="3" fillId="0" borderId="2" xfId="0" applyFont="1" applyBorder="1" applyAlignment="1">
      <alignment horizontal="left" indent="1"/>
    </xf>
    <xf numFmtId="0" fontId="3" fillId="0" borderId="0" xfId="0" applyFont="1"/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2" fontId="0" fillId="2" borderId="1" xfId="0" applyNumberFormat="1" applyFill="1" applyBorder="1"/>
    <xf numFmtId="2" fontId="0" fillId="0" borderId="1" xfId="0" applyNumberFormat="1" applyFont="1" applyBorder="1"/>
    <xf numFmtId="2" fontId="0" fillId="4" borderId="1" xfId="0" applyNumberFormat="1" applyFill="1" applyBorder="1"/>
    <xf numFmtId="2" fontId="0" fillId="0" borderId="1" xfId="0" applyNumberFormat="1" applyFill="1" applyBorder="1"/>
    <xf numFmtId="0" fontId="1" fillId="0" borderId="0" xfId="0" applyFont="1"/>
    <xf numFmtId="1" fontId="0" fillId="0" borderId="0" xfId="0" applyNumberFormat="1"/>
    <xf numFmtId="9" fontId="0" fillId="0" borderId="0" xfId="0" applyNumberFormat="1"/>
    <xf numFmtId="0" fontId="2" fillId="0" borderId="0" xfId="0" applyFont="1" applyAlignment="1">
      <alignment wrapText="1"/>
    </xf>
    <xf numFmtId="0" fontId="0" fillId="0" borderId="0" xfId="0" applyFill="1"/>
    <xf numFmtId="165" fontId="0" fillId="0" borderId="0" xfId="0" applyNumberFormat="1"/>
    <xf numFmtId="9" fontId="0" fillId="0" borderId="1" xfId="1" applyFont="1" applyBorder="1"/>
    <xf numFmtId="0" fontId="0" fillId="0" borderId="0" xfId="0" applyNumberFormat="1" applyFill="1" applyBorder="1"/>
    <xf numFmtId="9" fontId="0" fillId="0" borderId="1" xfId="1" applyFont="1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1" xfId="0" applyFill="1" applyBorder="1"/>
    <xf numFmtId="14" fontId="0" fillId="0" borderId="1" xfId="0" applyNumberFormat="1" applyFill="1" applyBorder="1" applyAlignment="1">
      <alignment horizontal="center"/>
    </xf>
    <xf numFmtId="0" fontId="2" fillId="0" borderId="1" xfId="0" applyFont="1" applyBorder="1" applyAlignment="1">
      <alignment wrapText="1"/>
    </xf>
    <xf numFmtId="1" fontId="0" fillId="0" borderId="1" xfId="0" applyNumberFormat="1" applyBorder="1"/>
    <xf numFmtId="9" fontId="0" fillId="0" borderId="1" xfId="0" applyNumberFormat="1" applyBorder="1"/>
    <xf numFmtId="0" fontId="0" fillId="0" borderId="0" xfId="0" applyFill="1" applyAlignment="1">
      <alignment horizontal="center"/>
    </xf>
    <xf numFmtId="0" fontId="0" fillId="5" borderId="0" xfId="0" applyFill="1"/>
    <xf numFmtId="0" fontId="5" fillId="0" borderId="0" xfId="0" applyFont="1"/>
    <xf numFmtId="9" fontId="0" fillId="0" borderId="0" xfId="1" applyFont="1"/>
    <xf numFmtId="9" fontId="2" fillId="0" borderId="1" xfId="1" applyFont="1" applyBorder="1"/>
    <xf numFmtId="49" fontId="6" fillId="3" borderId="1" xfId="0" applyNumberFormat="1" applyFont="1" applyFill="1" applyBorder="1" applyAlignment="1">
      <alignment horizontal="center"/>
    </xf>
    <xf numFmtId="0" fontId="0" fillId="2" borderId="6" xfId="0" applyFill="1" applyBorder="1"/>
    <xf numFmtId="0" fontId="0" fillId="2" borderId="7" xfId="0" applyFill="1" applyBorder="1"/>
    <xf numFmtId="0" fontId="0" fillId="2" borderId="5" xfId="0" applyFill="1" applyBorder="1"/>
    <xf numFmtId="0" fontId="0" fillId="8" borderId="8" xfId="0" applyFill="1" applyBorder="1"/>
    <xf numFmtId="0" fontId="0" fillId="8" borderId="7" xfId="0" applyFill="1" applyBorder="1"/>
    <xf numFmtId="0" fontId="0" fillId="8" borderId="6" xfId="0" applyFill="1" applyBorder="1"/>
    <xf numFmtId="0" fontId="0" fillId="9" borderId="8" xfId="0" applyFill="1" applyBorder="1"/>
    <xf numFmtId="0" fontId="0" fillId="9" borderId="7" xfId="0" applyFill="1" applyBorder="1"/>
    <xf numFmtId="0" fontId="0" fillId="2" borderId="1" xfId="0" applyFill="1" applyBorder="1" applyAlignment="1">
      <alignment wrapText="1"/>
    </xf>
    <xf numFmtId="16" fontId="0" fillId="2" borderId="1" xfId="0" applyNumberFormat="1" applyFill="1" applyBorder="1"/>
    <xf numFmtId="0" fontId="0" fillId="2" borderId="1" xfId="0" applyNumberFormat="1" applyFill="1" applyBorder="1"/>
    <xf numFmtId="0" fontId="0" fillId="8" borderId="1" xfId="0" applyFill="1" applyBorder="1" applyAlignment="1">
      <alignment wrapText="1"/>
    </xf>
    <xf numFmtId="0" fontId="0" fillId="8" borderId="1" xfId="0" applyFill="1" applyBorder="1"/>
    <xf numFmtId="16" fontId="0" fillId="8" borderId="1" xfId="0" applyNumberFormat="1" applyFill="1" applyBorder="1"/>
    <xf numFmtId="0" fontId="0" fillId="8" borderId="1" xfId="0" applyNumberFormat="1" applyFill="1" applyBorder="1"/>
    <xf numFmtId="0" fontId="0" fillId="9" borderId="1" xfId="0" applyFill="1" applyBorder="1" applyAlignment="1">
      <alignment wrapText="1"/>
    </xf>
    <xf numFmtId="0" fontId="0" fillId="9" borderId="1" xfId="0" applyFill="1" applyBorder="1"/>
    <xf numFmtId="16" fontId="0" fillId="9" borderId="1" xfId="0" applyNumberFormat="1" applyFill="1" applyBorder="1"/>
    <xf numFmtId="0" fontId="0" fillId="9" borderId="1" xfId="0" applyNumberFormat="1" applyFill="1" applyBorder="1"/>
    <xf numFmtId="14" fontId="0" fillId="0" borderId="0" xfId="0" applyNumberFormat="1"/>
    <xf numFmtId="49" fontId="2" fillId="4" borderId="1" xfId="0" applyNumberFormat="1" applyFont="1" applyFill="1" applyBorder="1" applyAlignment="1">
      <alignment horizontal="center"/>
    </xf>
    <xf numFmtId="1" fontId="2" fillId="0" borderId="1" xfId="0" applyNumberFormat="1" applyFont="1" applyFill="1" applyBorder="1"/>
    <xf numFmtId="9" fontId="7" fillId="0" borderId="1" xfId="1" applyFont="1" applyBorder="1"/>
    <xf numFmtId="49" fontId="1" fillId="3" borderId="1" xfId="0" applyNumberFormat="1" applyFont="1" applyFill="1" applyBorder="1" applyAlignment="1">
      <alignment horizontal="center"/>
    </xf>
    <xf numFmtId="0" fontId="0" fillId="10" borderId="1" xfId="0" applyFill="1" applyBorder="1"/>
    <xf numFmtId="0" fontId="0" fillId="0" borderId="1" xfId="0" applyFill="1" applyBorder="1"/>
    <xf numFmtId="0" fontId="10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0" borderId="0" xfId="0" applyBorder="1"/>
    <xf numFmtId="0" fontId="3" fillId="0" borderId="0" xfId="0" applyFont="1" applyBorder="1" applyAlignment="1">
      <alignment horizontal="left" indent="1"/>
    </xf>
    <xf numFmtId="0" fontId="3" fillId="0" borderId="0" xfId="0" applyFont="1" applyBorder="1"/>
    <xf numFmtId="0" fontId="0" fillId="11" borderId="1" xfId="0" applyFill="1" applyBorder="1"/>
    <xf numFmtId="0" fontId="11" fillId="0" borderId="0" xfId="0" applyFont="1"/>
    <xf numFmtId="166" fontId="0" fillId="0" borderId="1" xfId="1" applyNumberFormat="1" applyFont="1" applyBorder="1"/>
    <xf numFmtId="49" fontId="1" fillId="4" borderId="1" xfId="0" applyNumberFormat="1" applyFont="1" applyFill="1" applyBorder="1" applyAlignment="1">
      <alignment horizontal="center"/>
    </xf>
    <xf numFmtId="0" fontId="9" fillId="0" borderId="0" xfId="0" applyFont="1" applyAlignment="1">
      <alignment horizontal="left" vertical="center" indent="3"/>
    </xf>
    <xf numFmtId="49" fontId="6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wrapText="1"/>
    </xf>
    <xf numFmtId="0" fontId="11" fillId="9" borderId="1" xfId="0" applyFont="1" applyFill="1" applyBorder="1"/>
    <xf numFmtId="165" fontId="2" fillId="0" borderId="1" xfId="1" applyNumberFormat="1" applyFont="1" applyFill="1" applyBorder="1"/>
    <xf numFmtId="2" fontId="11" fillId="0" borderId="1" xfId="0" applyNumberFormat="1" applyFont="1" applyFill="1" applyBorder="1"/>
    <xf numFmtId="0" fontId="0" fillId="13" borderId="0" xfId="0" applyFill="1" applyAlignment="1">
      <alignment horizontal="center"/>
    </xf>
    <xf numFmtId="14" fontId="0" fillId="13" borderId="1" xfId="0" applyNumberFormat="1" applyFill="1" applyBorder="1" applyAlignment="1">
      <alignment horizontal="center"/>
    </xf>
    <xf numFmtId="0" fontId="0" fillId="12" borderId="0" xfId="0" applyFill="1" applyAlignment="1">
      <alignment horizontal="center"/>
    </xf>
    <xf numFmtId="14" fontId="0" fillId="12" borderId="1" xfId="0" applyNumberFormat="1" applyFill="1" applyBorder="1" applyAlignment="1">
      <alignment horizontal="center"/>
    </xf>
    <xf numFmtId="0" fontId="0" fillId="14" borderId="0" xfId="0" applyFill="1" applyAlignment="1">
      <alignment horizontal="center"/>
    </xf>
    <xf numFmtId="14" fontId="0" fillId="14" borderId="1" xfId="0" applyNumberFormat="1" applyFill="1" applyBorder="1" applyAlignment="1">
      <alignment horizontal="center"/>
    </xf>
    <xf numFmtId="164" fontId="0" fillId="0" borderId="0" xfId="2" applyFont="1"/>
    <xf numFmtId="167" fontId="0" fillId="2" borderId="1" xfId="0" applyNumberFormat="1" applyFill="1" applyBorder="1"/>
    <xf numFmtId="167" fontId="0" fillId="4" borderId="1" xfId="0" applyNumberFormat="1" applyFill="1" applyBorder="1"/>
    <xf numFmtId="167" fontId="0" fillId="0" borderId="1" xfId="0" applyNumberFormat="1" applyFill="1" applyBorder="1"/>
    <xf numFmtId="0" fontId="11" fillId="0" borderId="1" xfId="0" applyFont="1" applyBorder="1"/>
    <xf numFmtId="0" fontId="11" fillId="0" borderId="1" xfId="0" applyFont="1" applyFill="1" applyBorder="1"/>
    <xf numFmtId="2" fontId="2" fillId="11" borderId="1" xfId="0" applyNumberFormat="1" applyFont="1" applyFill="1" applyBorder="1"/>
    <xf numFmtId="2" fontId="4" fillId="11" borderId="1" xfId="0" applyNumberFormat="1" applyFont="1" applyFill="1" applyBorder="1" applyAlignment="1">
      <alignment wrapText="1"/>
    </xf>
    <xf numFmtId="1" fontId="2" fillId="11" borderId="1" xfId="0" applyNumberFormat="1" applyFont="1" applyFill="1" applyBorder="1"/>
    <xf numFmtId="0" fontId="11" fillId="11" borderId="1" xfId="0" applyFont="1" applyFill="1" applyBorder="1"/>
    <xf numFmtId="2" fontId="4" fillId="11" borderId="1" xfId="0" applyNumberFormat="1" applyFont="1" applyFill="1" applyBorder="1"/>
    <xf numFmtId="0" fontId="0" fillId="13" borderId="1" xfId="0" applyFill="1" applyBorder="1"/>
    <xf numFmtId="2" fontId="2" fillId="13" borderId="1" xfId="0" applyNumberFormat="1" applyFont="1" applyFill="1" applyBorder="1"/>
    <xf numFmtId="2" fontId="4" fillId="13" borderId="1" xfId="0" applyNumberFormat="1" applyFont="1" applyFill="1" applyBorder="1" applyAlignment="1">
      <alignment wrapText="1"/>
    </xf>
    <xf numFmtId="1" fontId="2" fillId="13" borderId="1" xfId="0" applyNumberFormat="1" applyFont="1" applyFill="1" applyBorder="1"/>
    <xf numFmtId="0" fontId="0" fillId="14" borderId="1" xfId="0" applyFill="1" applyBorder="1"/>
    <xf numFmtId="2" fontId="2" fillId="14" borderId="1" xfId="0" applyNumberFormat="1" applyFont="1" applyFill="1" applyBorder="1"/>
    <xf numFmtId="2" fontId="4" fillId="14" borderId="1" xfId="0" applyNumberFormat="1" applyFont="1" applyFill="1" applyBorder="1" applyAlignment="1">
      <alignment wrapText="1"/>
    </xf>
    <xf numFmtId="1" fontId="2" fillId="14" borderId="1" xfId="0" applyNumberFormat="1" applyFont="1" applyFill="1" applyBorder="1"/>
    <xf numFmtId="0" fontId="0" fillId="15" borderId="1" xfId="0" applyFill="1" applyBorder="1"/>
    <xf numFmtId="2" fontId="2" fillId="15" borderId="1" xfId="0" applyNumberFormat="1" applyFont="1" applyFill="1" applyBorder="1"/>
    <xf numFmtId="2" fontId="4" fillId="15" borderId="1" xfId="0" applyNumberFormat="1" applyFont="1" applyFill="1" applyBorder="1" applyAlignment="1">
      <alignment wrapText="1"/>
    </xf>
    <xf numFmtId="1" fontId="2" fillId="15" borderId="1" xfId="0" applyNumberFormat="1" applyFont="1" applyFill="1" applyBorder="1"/>
    <xf numFmtId="0" fontId="0" fillId="15" borderId="1" xfId="0" applyFill="1" applyBorder="1" applyAlignment="1">
      <alignment wrapText="1"/>
    </xf>
    <xf numFmtId="0" fontId="0" fillId="13" borderId="1" xfId="0" applyFill="1" applyBorder="1" applyAlignment="1">
      <alignment wrapText="1"/>
    </xf>
    <xf numFmtId="0" fontId="0" fillId="16" borderId="1" xfId="0" applyFill="1" applyBorder="1"/>
    <xf numFmtId="2" fontId="2" fillId="16" borderId="1" xfId="0" applyNumberFormat="1" applyFont="1" applyFill="1" applyBorder="1"/>
    <xf numFmtId="2" fontId="4" fillId="16" borderId="1" xfId="0" applyNumberFormat="1" applyFont="1" applyFill="1" applyBorder="1" applyAlignment="1">
      <alignment wrapText="1"/>
    </xf>
    <xf numFmtId="1" fontId="2" fillId="16" borderId="1" xfId="0" applyNumberFormat="1" applyFont="1" applyFill="1" applyBorder="1"/>
    <xf numFmtId="0" fontId="0" fillId="16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9" fillId="0" borderId="0" xfId="0" applyFont="1" applyAlignment="1">
      <alignment vertical="center" wrapText="1"/>
    </xf>
    <xf numFmtId="168" fontId="0" fillId="0" borderId="1" xfId="0" applyNumberFormat="1" applyBorder="1"/>
    <xf numFmtId="0" fontId="0" fillId="17" borderId="1" xfId="0" applyFill="1" applyBorder="1"/>
    <xf numFmtId="0" fontId="0" fillId="18" borderId="1" xfId="0" applyFill="1" applyBorder="1"/>
    <xf numFmtId="0" fontId="0" fillId="0" borderId="1" xfId="0" applyBorder="1"/>
    <xf numFmtId="0" fontId="0" fillId="11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20" borderId="1" xfId="0" applyFill="1" applyBorder="1"/>
    <xf numFmtId="0" fontId="0" fillId="12" borderId="1" xfId="0" applyFill="1" applyBorder="1"/>
    <xf numFmtId="167" fontId="0" fillId="0" borderId="0" xfId="0" applyNumberFormat="1"/>
    <xf numFmtId="0" fontId="13" fillId="0" borderId="0" xfId="0" applyFont="1"/>
    <xf numFmtId="168" fontId="0" fillId="0" borderId="0" xfId="0" applyNumberFormat="1"/>
    <xf numFmtId="0" fontId="14" fillId="0" borderId="0" xfId="0" applyFont="1"/>
    <xf numFmtId="0" fontId="15" fillId="0" borderId="0" xfId="0" applyFont="1"/>
    <xf numFmtId="0" fontId="0" fillId="12" borderId="1" xfId="0" applyFill="1" applyBorder="1" applyAlignment="1">
      <alignment horizontal="center"/>
    </xf>
    <xf numFmtId="0" fontId="16" fillId="0" borderId="0" xfId="0" applyFont="1"/>
    <xf numFmtId="0" fontId="0" fillId="0" borderId="1" xfId="0" applyBorder="1" applyAlignment="1">
      <alignment wrapText="1"/>
    </xf>
    <xf numFmtId="2" fontId="21" fillId="21" borderId="1" xfId="3" applyNumberFormat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4">
    <cellStyle name="Comma" xfId="2" builtinId="3"/>
    <cellStyle name="Good" xfId="3" builtinId="26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ПС-21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650652756358716"/>
          <c:y val="0.12836522595531388"/>
          <c:w val="0.82000113708238875"/>
          <c:h val="0.50050810003289226"/>
        </c:manualLayout>
      </c:layout>
      <c:barChart>
        <c:barDir val="col"/>
        <c:grouping val="clustered"/>
        <c:varyColors val="0"/>
        <c:ser>
          <c:idx val="0"/>
          <c:order val="0"/>
          <c:tx>
            <c:v>Баллы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'Сорт.итоги по группам'!$B$3:$B$30</c:f>
              <c:strCache>
                <c:ptCount val="28"/>
                <c:pt idx="0">
                  <c:v>Усков Иван Юрьевич</c:v>
                </c:pt>
                <c:pt idx="1">
                  <c:v>Каримов Тимур Маратович</c:v>
                </c:pt>
                <c:pt idx="2">
                  <c:v>Кублицкая Анна-Виталия Денисовна</c:v>
                </c:pt>
                <c:pt idx="3">
                  <c:v>Долганов Вадим Николаевич</c:v>
                </c:pt>
                <c:pt idx="4">
                  <c:v>Красильникова Ольга Алексеевна</c:v>
                </c:pt>
                <c:pt idx="5">
                  <c:v>Газизьянов Артемий Дмитриевич</c:v>
                </c:pt>
                <c:pt idx="6">
                  <c:v>Прохорова Виктория Николаевна</c:v>
                </c:pt>
                <c:pt idx="7">
                  <c:v>Геворкян Елена Суреновна</c:v>
                </c:pt>
                <c:pt idx="8">
                  <c:v>Афанасьев Денис</c:v>
                </c:pt>
                <c:pt idx="9">
                  <c:v>Лебедев Андрей Сергеевич</c:v>
                </c:pt>
                <c:pt idx="10">
                  <c:v>Андреишев Иван Ильич</c:v>
                </c:pt>
                <c:pt idx="11">
                  <c:v>Старовойтов Алексей Андреевич</c:v>
                </c:pt>
                <c:pt idx="12">
                  <c:v>Фурман Антон Александрович</c:v>
                </c:pt>
                <c:pt idx="13">
                  <c:v>Романов Илья Владимирович</c:v>
                </c:pt>
                <c:pt idx="14">
                  <c:v>Аверков В.Н.</c:v>
                </c:pt>
                <c:pt idx="15">
                  <c:v>Стародубцева Анастасия Владимировна</c:v>
                </c:pt>
                <c:pt idx="16">
                  <c:v>Зайков Максим Григорьевич</c:v>
                </c:pt>
                <c:pt idx="17">
                  <c:v>Гинзбург Владимир Яковлевич</c:v>
                </c:pt>
                <c:pt idx="18">
                  <c:v>Винокуренко Николай Геннадьевич</c:v>
                </c:pt>
                <c:pt idx="19">
                  <c:v>Мухаметгалиев Ришат Р.</c:v>
                </c:pt>
                <c:pt idx="20">
                  <c:v>Борисов Николай Александрович</c:v>
                </c:pt>
                <c:pt idx="21">
                  <c:v>Сидоров Андрей Вениаминович</c:v>
                </c:pt>
                <c:pt idx="22">
                  <c:v>Кудрявцев Максим Анатольевич</c:v>
                </c:pt>
                <c:pt idx="23">
                  <c:v>Никандрова Мария Анатольевна</c:v>
                </c:pt>
                <c:pt idx="24">
                  <c:v>Керимов Дмитрий В.</c:v>
                </c:pt>
                <c:pt idx="25">
                  <c:v>Луганский Петр Александрович</c:v>
                </c:pt>
                <c:pt idx="26">
                  <c:v>Никитенко Алексей</c:v>
                </c:pt>
                <c:pt idx="27">
                  <c:v>Смоленцев Илья Владимирович</c:v>
                </c:pt>
              </c:strCache>
            </c:strRef>
          </c:cat>
          <c:val>
            <c:numRef>
              <c:f>'Сорт.итоги по группам'!$O$3:$O$30</c:f>
              <c:numCache>
                <c:formatCode>0.00</c:formatCode>
                <c:ptCount val="28"/>
                <c:pt idx="0">
                  <c:v>85.900320588235303</c:v>
                </c:pt>
                <c:pt idx="1">
                  <c:v>82.329262184873954</c:v>
                </c:pt>
                <c:pt idx="2">
                  <c:v>74.256545555064122</c:v>
                </c:pt>
                <c:pt idx="3">
                  <c:v>70.32291673669468</c:v>
                </c:pt>
                <c:pt idx="4">
                  <c:v>69.141113445378153</c:v>
                </c:pt>
                <c:pt idx="5">
                  <c:v>68.754884054026462</c:v>
                </c:pt>
                <c:pt idx="6">
                  <c:v>68.389662759840775</c:v>
                </c:pt>
                <c:pt idx="7">
                  <c:v>67.136762702003878</c:v>
                </c:pt>
                <c:pt idx="8">
                  <c:v>61.220352985404688</c:v>
                </c:pt>
                <c:pt idx="9">
                  <c:v>60.906805882352941</c:v>
                </c:pt>
                <c:pt idx="10">
                  <c:v>60.686788677576295</c:v>
                </c:pt>
                <c:pt idx="11">
                  <c:v>59.116260393631137</c:v>
                </c:pt>
                <c:pt idx="12">
                  <c:v>58.667703892083154</c:v>
                </c:pt>
                <c:pt idx="13">
                  <c:v>39.66279040247678</c:v>
                </c:pt>
                <c:pt idx="14">
                  <c:v>32.260140866873066</c:v>
                </c:pt>
                <c:pt idx="15">
                  <c:v>30.310978328173373</c:v>
                </c:pt>
                <c:pt idx="16">
                  <c:v>23.718592879256963</c:v>
                </c:pt>
                <c:pt idx="17">
                  <c:v>22.285294117647059</c:v>
                </c:pt>
                <c:pt idx="18">
                  <c:v>16.937368421052632</c:v>
                </c:pt>
                <c:pt idx="19">
                  <c:v>9.8650000000000002</c:v>
                </c:pt>
                <c:pt idx="20">
                  <c:v>6.3947368421052628</c:v>
                </c:pt>
                <c:pt idx="21">
                  <c:v>6.1223684210526317</c:v>
                </c:pt>
                <c:pt idx="22">
                  <c:v>4.8</c:v>
                </c:pt>
                <c:pt idx="23">
                  <c:v>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835-42FA-BF92-7D35782DCF8C}"/>
            </c:ext>
          </c:extLst>
        </c:ser>
        <c:ser>
          <c:idx val="1"/>
          <c:order val="1"/>
          <c:tx>
            <c:v>Прогулы</c:v>
          </c:tx>
          <c:invertIfNegative val="0"/>
          <c:cat>
            <c:strRef>
              <c:f>'Сорт.итоги по группам'!$B$3:$B$30</c:f>
              <c:strCache>
                <c:ptCount val="28"/>
                <c:pt idx="0">
                  <c:v>Усков Иван Юрьевич</c:v>
                </c:pt>
                <c:pt idx="1">
                  <c:v>Каримов Тимур Маратович</c:v>
                </c:pt>
                <c:pt idx="2">
                  <c:v>Кублицкая Анна-Виталия Денисовна</c:v>
                </c:pt>
                <c:pt idx="3">
                  <c:v>Долганов Вадим Николаевич</c:v>
                </c:pt>
                <c:pt idx="4">
                  <c:v>Красильникова Ольга Алексеевна</c:v>
                </c:pt>
                <c:pt idx="5">
                  <c:v>Газизьянов Артемий Дмитриевич</c:v>
                </c:pt>
                <c:pt idx="6">
                  <c:v>Прохорова Виктория Николаевна</c:v>
                </c:pt>
                <c:pt idx="7">
                  <c:v>Геворкян Елена Суреновна</c:v>
                </c:pt>
                <c:pt idx="8">
                  <c:v>Афанасьев Денис</c:v>
                </c:pt>
                <c:pt idx="9">
                  <c:v>Лебедев Андрей Сергеевич</c:v>
                </c:pt>
                <c:pt idx="10">
                  <c:v>Андреишев Иван Ильич</c:v>
                </c:pt>
                <c:pt idx="11">
                  <c:v>Старовойтов Алексей Андреевич</c:v>
                </c:pt>
                <c:pt idx="12">
                  <c:v>Фурман Антон Александрович</c:v>
                </c:pt>
                <c:pt idx="13">
                  <c:v>Романов Илья Владимирович</c:v>
                </c:pt>
                <c:pt idx="14">
                  <c:v>Аверков В.Н.</c:v>
                </c:pt>
                <c:pt idx="15">
                  <c:v>Стародубцева Анастасия Владимировна</c:v>
                </c:pt>
                <c:pt idx="16">
                  <c:v>Зайков Максим Григорьевич</c:v>
                </c:pt>
                <c:pt idx="17">
                  <c:v>Гинзбург Владимир Яковлевич</c:v>
                </c:pt>
                <c:pt idx="18">
                  <c:v>Винокуренко Николай Геннадьевич</c:v>
                </c:pt>
                <c:pt idx="19">
                  <c:v>Мухаметгалиев Ришат Р.</c:v>
                </c:pt>
                <c:pt idx="20">
                  <c:v>Борисов Николай Александрович</c:v>
                </c:pt>
                <c:pt idx="21">
                  <c:v>Сидоров Андрей Вениаминович</c:v>
                </c:pt>
                <c:pt idx="22">
                  <c:v>Кудрявцев Максим Анатольевич</c:v>
                </c:pt>
                <c:pt idx="23">
                  <c:v>Никандрова Мария Анатольевна</c:v>
                </c:pt>
                <c:pt idx="24">
                  <c:v>Керимов Дмитрий В.</c:v>
                </c:pt>
                <c:pt idx="25">
                  <c:v>Луганский Петр Александрович</c:v>
                </c:pt>
                <c:pt idx="26">
                  <c:v>Никитенко Алексей</c:v>
                </c:pt>
                <c:pt idx="27">
                  <c:v>Смоленцев Илья Владимирович</c:v>
                </c:pt>
              </c:strCache>
            </c:strRef>
          </c:cat>
          <c:val>
            <c:numRef>
              <c:f>'Сорт.итоги по группам'!$R$3:$R$30</c:f>
              <c:numCache>
                <c:formatCode>0</c:formatCode>
                <c:ptCount val="2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8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13</c:v>
                </c:pt>
                <c:pt idx="20">
                  <c:v>0</c:v>
                </c:pt>
                <c:pt idx="21">
                  <c:v>19</c:v>
                </c:pt>
                <c:pt idx="22">
                  <c:v>8</c:v>
                </c:pt>
                <c:pt idx="23">
                  <c:v>1</c:v>
                </c:pt>
                <c:pt idx="24">
                  <c:v>26</c:v>
                </c:pt>
                <c:pt idx="25">
                  <c:v>19</c:v>
                </c:pt>
                <c:pt idx="26">
                  <c:v>20</c:v>
                </c:pt>
                <c:pt idx="27">
                  <c:v>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835-42FA-BF92-7D35782DC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422602512"/>
        <c:axId val="-1422601424"/>
      </c:barChart>
      <c:catAx>
        <c:axId val="-142260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422601424"/>
        <c:crosses val="autoZero"/>
        <c:auto val="1"/>
        <c:lblAlgn val="ctr"/>
        <c:lblOffset val="100"/>
        <c:noMultiLvlLbl val="0"/>
      </c:catAx>
      <c:valAx>
        <c:axId val="-142260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42260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335503265558013E-3"/>
          <c:y val="2.5723841568714396E-2"/>
          <c:w val="9.6527776790727243E-2"/>
          <c:h val="0.12516674374235773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ПС-22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063336673578614"/>
          <c:y val="0.11163119283274645"/>
          <c:w val="0.84711427089384483"/>
          <c:h val="0.56866350557251855"/>
        </c:manualLayout>
      </c:layout>
      <c:barChart>
        <c:barDir val="col"/>
        <c:grouping val="clustered"/>
        <c:varyColors val="0"/>
        <c:ser>
          <c:idx val="0"/>
          <c:order val="0"/>
          <c:tx>
            <c:v>Баллы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'Сорт.итоги по группам'!$B$34:$B$61</c:f>
              <c:strCache>
                <c:ptCount val="28"/>
                <c:pt idx="0">
                  <c:v>Якимов Александр  </c:v>
                </c:pt>
                <c:pt idx="1">
                  <c:v>Степаненко Сергей </c:v>
                </c:pt>
                <c:pt idx="2">
                  <c:v>Лелеков Алексей   </c:v>
                </c:pt>
                <c:pt idx="3">
                  <c:v>Мошкин Никита     </c:v>
                </c:pt>
                <c:pt idx="4">
                  <c:v>Пекшеев Дмитрий   </c:v>
                </c:pt>
                <c:pt idx="5">
                  <c:v>Калагин Иван        </c:v>
                </c:pt>
                <c:pt idx="6">
                  <c:v>Карнаухов Константин</c:v>
                </c:pt>
                <c:pt idx="7">
                  <c:v>Апакаева Яна        </c:v>
                </c:pt>
                <c:pt idx="8">
                  <c:v>Емельянов Дмитрий Анатольевич</c:v>
                </c:pt>
                <c:pt idx="9">
                  <c:v>Илларионов Артем    </c:v>
                </c:pt>
                <c:pt idx="10">
                  <c:v>Смирнов Роман     </c:v>
                </c:pt>
                <c:pt idx="11">
                  <c:v>Попов Павел       </c:v>
                </c:pt>
                <c:pt idx="12">
                  <c:v>Васенин Денис       </c:v>
                </c:pt>
                <c:pt idx="13">
                  <c:v>Васильев Алексей    </c:v>
                </c:pt>
                <c:pt idx="14">
                  <c:v>Газизьянов Давлет   </c:v>
                </c:pt>
                <c:pt idx="15">
                  <c:v>Кузнецов Вадим      </c:v>
                </c:pt>
                <c:pt idx="16">
                  <c:v>Курбатов Дмитрий    </c:v>
                </c:pt>
                <c:pt idx="17">
                  <c:v>Лопухова Анастасия</c:v>
                </c:pt>
                <c:pt idx="18">
                  <c:v>Маринин Данил     </c:v>
                </c:pt>
                <c:pt idx="19">
                  <c:v>Медведенко Ксения </c:v>
                </c:pt>
                <c:pt idx="20">
                  <c:v>Мидин Эржан       </c:v>
                </c:pt>
                <c:pt idx="21">
                  <c:v>Образцов Дмитрий  </c:v>
                </c:pt>
                <c:pt idx="22">
                  <c:v>Санников Егор</c:v>
                </c:pt>
                <c:pt idx="23">
                  <c:v>Смирнов Антон     </c:v>
                </c:pt>
                <c:pt idx="24">
                  <c:v>Хасанова Ильмира  </c:v>
                </c:pt>
                <c:pt idx="25">
                  <c:v>Чаров Артур       </c:v>
                </c:pt>
                <c:pt idx="26">
                  <c:v>Чернов Иван       </c:v>
                </c:pt>
                <c:pt idx="27">
                  <c:v>Юн Александр      </c:v>
                </c:pt>
              </c:strCache>
            </c:strRef>
          </c:cat>
          <c:val>
            <c:numRef>
              <c:f>'Сорт.итоги по группам'!$O$34:$O$61</c:f>
              <c:numCache>
                <c:formatCode>0.00</c:formatCode>
                <c:ptCount val="28"/>
                <c:pt idx="0">
                  <c:v>59.755988235294119</c:v>
                </c:pt>
                <c:pt idx="1">
                  <c:v>59.668367094206104</c:v>
                </c:pt>
                <c:pt idx="2">
                  <c:v>59.240262273330387</c:v>
                </c:pt>
                <c:pt idx="3">
                  <c:v>58.794139761167621</c:v>
                </c:pt>
                <c:pt idx="4">
                  <c:v>34.172702786377705</c:v>
                </c:pt>
                <c:pt idx="5">
                  <c:v>30.745927244582042</c:v>
                </c:pt>
                <c:pt idx="6">
                  <c:v>12.400375939849624</c:v>
                </c:pt>
                <c:pt idx="7">
                  <c:v>8.7881052631578953</c:v>
                </c:pt>
                <c:pt idx="8">
                  <c:v>6.3473684210526313</c:v>
                </c:pt>
                <c:pt idx="9">
                  <c:v>5.4</c:v>
                </c:pt>
                <c:pt idx="10">
                  <c:v>4.4000000000000004</c:v>
                </c:pt>
                <c:pt idx="11">
                  <c:v>1.6799999999999997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DA-40EC-B2C2-212D75DCE876}"/>
            </c:ext>
          </c:extLst>
        </c:ser>
        <c:ser>
          <c:idx val="1"/>
          <c:order val="1"/>
          <c:tx>
            <c:v>Прогулы</c:v>
          </c:tx>
          <c:invertIfNegative val="0"/>
          <c:cat>
            <c:strRef>
              <c:f>'Сорт.итоги по группам'!$B$34:$B$61</c:f>
              <c:strCache>
                <c:ptCount val="28"/>
                <c:pt idx="0">
                  <c:v>Якимов Александр  </c:v>
                </c:pt>
                <c:pt idx="1">
                  <c:v>Степаненко Сергей </c:v>
                </c:pt>
                <c:pt idx="2">
                  <c:v>Лелеков Алексей   </c:v>
                </c:pt>
                <c:pt idx="3">
                  <c:v>Мошкин Никита     </c:v>
                </c:pt>
                <c:pt idx="4">
                  <c:v>Пекшеев Дмитрий   </c:v>
                </c:pt>
                <c:pt idx="5">
                  <c:v>Калагин Иван        </c:v>
                </c:pt>
                <c:pt idx="6">
                  <c:v>Карнаухов Константин</c:v>
                </c:pt>
                <c:pt idx="7">
                  <c:v>Апакаева Яна        </c:v>
                </c:pt>
                <c:pt idx="8">
                  <c:v>Емельянов Дмитрий Анатольевич</c:v>
                </c:pt>
                <c:pt idx="9">
                  <c:v>Илларионов Артем    </c:v>
                </c:pt>
                <c:pt idx="10">
                  <c:v>Смирнов Роман     </c:v>
                </c:pt>
                <c:pt idx="11">
                  <c:v>Попов Павел       </c:v>
                </c:pt>
                <c:pt idx="12">
                  <c:v>Васенин Денис       </c:v>
                </c:pt>
                <c:pt idx="13">
                  <c:v>Васильев Алексей    </c:v>
                </c:pt>
                <c:pt idx="14">
                  <c:v>Газизьянов Давлет   </c:v>
                </c:pt>
                <c:pt idx="15">
                  <c:v>Кузнецов Вадим      </c:v>
                </c:pt>
                <c:pt idx="16">
                  <c:v>Курбатов Дмитрий    </c:v>
                </c:pt>
                <c:pt idx="17">
                  <c:v>Лопухова Анастасия</c:v>
                </c:pt>
                <c:pt idx="18">
                  <c:v>Маринин Данил     </c:v>
                </c:pt>
                <c:pt idx="19">
                  <c:v>Медведенко Ксения </c:v>
                </c:pt>
                <c:pt idx="20">
                  <c:v>Мидин Эржан       </c:v>
                </c:pt>
                <c:pt idx="21">
                  <c:v>Образцов Дмитрий  </c:v>
                </c:pt>
                <c:pt idx="22">
                  <c:v>Санников Егор</c:v>
                </c:pt>
                <c:pt idx="23">
                  <c:v>Смирнов Антон     </c:v>
                </c:pt>
                <c:pt idx="24">
                  <c:v>Хасанова Ильмира  </c:v>
                </c:pt>
                <c:pt idx="25">
                  <c:v>Чаров Артур       </c:v>
                </c:pt>
                <c:pt idx="26">
                  <c:v>Чернов Иван       </c:v>
                </c:pt>
                <c:pt idx="27">
                  <c:v>Юн Александр      </c:v>
                </c:pt>
              </c:strCache>
            </c:strRef>
          </c:cat>
          <c:val>
            <c:numRef>
              <c:f>'Сорт.итоги по группам'!$R$34:$R$61</c:f>
              <c:numCache>
                <c:formatCode>0</c:formatCode>
                <c:ptCount val="28"/>
                <c:pt idx="0">
                  <c:v>3</c:v>
                </c:pt>
                <c:pt idx="1">
                  <c:v>5</c:v>
                </c:pt>
                <c:pt idx="2">
                  <c:v>1</c:v>
                </c:pt>
                <c:pt idx="3">
                  <c:v>3</c:v>
                </c:pt>
                <c:pt idx="4">
                  <c:v>8</c:v>
                </c:pt>
                <c:pt idx="5">
                  <c:v>11</c:v>
                </c:pt>
                <c:pt idx="6">
                  <c:v>9</c:v>
                </c:pt>
                <c:pt idx="7">
                  <c:v>4</c:v>
                </c:pt>
                <c:pt idx="8">
                  <c:v>6</c:v>
                </c:pt>
                <c:pt idx="9">
                  <c:v>0</c:v>
                </c:pt>
                <c:pt idx="10">
                  <c:v>24</c:v>
                </c:pt>
                <c:pt idx="11">
                  <c:v>10</c:v>
                </c:pt>
                <c:pt idx="12">
                  <c:v>23</c:v>
                </c:pt>
                <c:pt idx="13">
                  <c:v>15</c:v>
                </c:pt>
                <c:pt idx="14">
                  <c:v>16</c:v>
                </c:pt>
                <c:pt idx="15">
                  <c:v>14</c:v>
                </c:pt>
                <c:pt idx="16">
                  <c:v>20</c:v>
                </c:pt>
                <c:pt idx="17">
                  <c:v>28</c:v>
                </c:pt>
                <c:pt idx="18">
                  <c:v>28</c:v>
                </c:pt>
                <c:pt idx="19">
                  <c:v>17</c:v>
                </c:pt>
                <c:pt idx="20">
                  <c:v>32</c:v>
                </c:pt>
                <c:pt idx="21">
                  <c:v>31</c:v>
                </c:pt>
                <c:pt idx="22">
                  <c:v>16</c:v>
                </c:pt>
                <c:pt idx="23">
                  <c:v>24</c:v>
                </c:pt>
                <c:pt idx="24">
                  <c:v>4</c:v>
                </c:pt>
                <c:pt idx="25">
                  <c:v>16</c:v>
                </c:pt>
                <c:pt idx="26">
                  <c:v>31</c:v>
                </c:pt>
                <c:pt idx="27">
                  <c:v>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DA-40EC-B2C2-212D75DCE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422605776"/>
        <c:axId val="-1422605232"/>
      </c:barChart>
      <c:catAx>
        <c:axId val="-142260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422605232"/>
        <c:crosses val="autoZero"/>
        <c:auto val="1"/>
        <c:lblAlgn val="ctr"/>
        <c:lblOffset val="100"/>
        <c:noMultiLvlLbl val="0"/>
      </c:catAx>
      <c:valAx>
        <c:axId val="-142260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42260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7.5880428922340623E-5"/>
          <c:y val="9.2984323766315546E-3"/>
          <c:w val="9.6433927255166099E-2"/>
          <c:h val="0.1088496732893549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51050</xdr:colOff>
      <xdr:row>0</xdr:row>
      <xdr:rowOff>0</xdr:rowOff>
    </xdr:from>
    <xdr:to>
      <xdr:col>37</xdr:col>
      <xdr:colOff>244929</xdr:colOff>
      <xdr:row>18</xdr:row>
      <xdr:rowOff>100853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44203</xdr:colOff>
      <xdr:row>18</xdr:row>
      <xdr:rowOff>131982</xdr:rowOff>
    </xdr:from>
    <xdr:to>
      <xdr:col>37</xdr:col>
      <xdr:colOff>272143</xdr:colOff>
      <xdr:row>40</xdr:row>
      <xdr:rowOff>33618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N95"/>
  <sheetViews>
    <sheetView topLeftCell="A40" workbookViewId="0">
      <selection activeCell="A2" sqref="A2:B63"/>
    </sheetView>
  </sheetViews>
  <sheetFormatPr defaultRowHeight="15" x14ac:dyDescent="0.25"/>
  <cols>
    <col min="1" max="1" width="6.140625" customWidth="1"/>
    <col min="2" max="2" width="37.140625" customWidth="1"/>
    <col min="3" max="3" width="11.140625" customWidth="1"/>
    <col min="4" max="4" width="11.42578125" customWidth="1"/>
    <col min="5" max="5" width="10.28515625" bestFit="1" customWidth="1"/>
    <col min="6" max="9" width="10.140625" customWidth="1"/>
    <col min="10" max="12" width="10.28515625" bestFit="1" customWidth="1"/>
    <col min="13" max="13" width="10.28515625" customWidth="1"/>
    <col min="14" max="14" width="11.85546875" customWidth="1"/>
    <col min="15" max="19" width="10.28515625" bestFit="1" customWidth="1"/>
  </cols>
  <sheetData>
    <row r="1" spans="1:14" x14ac:dyDescent="0.25">
      <c r="B1" t="s">
        <v>277</v>
      </c>
      <c r="C1" s="139" t="s">
        <v>220</v>
      </c>
      <c r="D1" s="140"/>
      <c r="E1" s="140"/>
      <c r="F1" s="141"/>
      <c r="G1" s="139" t="s">
        <v>221</v>
      </c>
      <c r="H1" s="141"/>
    </row>
    <row r="2" spans="1:14" x14ac:dyDescent="0.25">
      <c r="A2" s="67"/>
      <c r="B2" s="65" t="s">
        <v>20</v>
      </c>
      <c r="C2" s="10" t="s">
        <v>27</v>
      </c>
      <c r="D2" s="10" t="s">
        <v>28</v>
      </c>
      <c r="E2" s="10" t="s">
        <v>54</v>
      </c>
      <c r="F2" s="10" t="s">
        <v>21</v>
      </c>
      <c r="G2" s="62" t="s">
        <v>37</v>
      </c>
      <c r="H2" s="62" t="s">
        <v>38</v>
      </c>
      <c r="I2" s="76" t="s">
        <v>47</v>
      </c>
      <c r="J2" s="10" t="s">
        <v>1</v>
      </c>
      <c r="K2" s="10" t="s">
        <v>0</v>
      </c>
      <c r="L2" s="10" t="s">
        <v>1</v>
      </c>
      <c r="M2" s="10" t="s">
        <v>47</v>
      </c>
      <c r="N2" s="10" t="s">
        <v>12</v>
      </c>
    </row>
    <row r="3" spans="1:14" x14ac:dyDescent="0.25">
      <c r="A3" s="67">
        <v>1</v>
      </c>
      <c r="B3" s="2" t="s">
        <v>466</v>
      </c>
      <c r="C3" s="6"/>
      <c r="D3" s="6"/>
      <c r="E3" s="6"/>
      <c r="F3" s="6"/>
      <c r="G3" s="31"/>
      <c r="H3" s="31"/>
      <c r="I3" s="31"/>
      <c r="J3" s="124"/>
      <c r="K3" s="124">
        <f t="shared" ref="K3:K4" si="0">SUM(C3:J3)</f>
        <v>0</v>
      </c>
      <c r="L3" s="124"/>
      <c r="M3" s="75"/>
      <c r="N3" s="7">
        <f t="shared" ref="N3:N32" si="1">NormalizeResult($C$71,$D$71,$C$70,$D$70,$C$69,$D$69,K3)+L3+IF(M3&gt;$M$64,M3*$M$65,0)</f>
        <v>0</v>
      </c>
    </row>
    <row r="4" spans="1:14" x14ac:dyDescent="0.25">
      <c r="A4" s="67">
        <v>2</v>
      </c>
      <c r="B4" s="2" t="s">
        <v>478</v>
      </c>
      <c r="C4" s="6"/>
      <c r="D4" s="6"/>
      <c r="E4" s="6"/>
      <c r="F4" s="6"/>
      <c r="G4" s="31"/>
      <c r="H4" s="31"/>
      <c r="I4" s="31"/>
      <c r="J4" s="124"/>
      <c r="K4" s="124">
        <f t="shared" si="0"/>
        <v>0</v>
      </c>
      <c r="L4" s="124"/>
      <c r="M4" s="75"/>
      <c r="N4" s="7">
        <f t="shared" si="1"/>
        <v>0</v>
      </c>
    </row>
    <row r="5" spans="1:14" x14ac:dyDescent="0.25">
      <c r="A5" s="67">
        <v>3</v>
      </c>
      <c r="B5" t="s">
        <v>449</v>
      </c>
      <c r="C5" s="6"/>
      <c r="D5" s="6"/>
      <c r="E5" s="6"/>
      <c r="F5" s="6"/>
      <c r="G5" s="31"/>
      <c r="H5" s="31"/>
      <c r="I5" s="31"/>
      <c r="J5" s="3"/>
      <c r="K5" s="3">
        <f>SUM(C5:J5)</f>
        <v>0</v>
      </c>
      <c r="L5" s="3"/>
      <c r="M5" s="75"/>
      <c r="N5" s="7">
        <f t="shared" si="1"/>
        <v>0</v>
      </c>
    </row>
    <row r="6" spans="1:14" x14ac:dyDescent="0.25">
      <c r="A6" s="67">
        <v>4</v>
      </c>
      <c r="B6" s="2" t="s">
        <v>479</v>
      </c>
      <c r="C6" s="6"/>
      <c r="D6" s="6"/>
      <c r="E6" s="6"/>
      <c r="F6" s="6"/>
      <c r="G6" s="31"/>
      <c r="H6" s="31"/>
      <c r="I6" s="31"/>
      <c r="J6" s="124"/>
      <c r="K6" s="124">
        <f t="shared" ref="K6:K32" si="2">SUM(C6:J6)</f>
        <v>0</v>
      </c>
      <c r="L6" s="124"/>
      <c r="M6" s="75"/>
      <c r="N6" s="7">
        <f t="shared" si="1"/>
        <v>0</v>
      </c>
    </row>
    <row r="7" spans="1:14" x14ac:dyDescent="0.25">
      <c r="A7" s="67">
        <v>5</v>
      </c>
      <c r="B7" s="2" t="s">
        <v>480</v>
      </c>
      <c r="C7" s="6"/>
      <c r="D7" s="6"/>
      <c r="E7" s="6"/>
      <c r="F7" s="6"/>
      <c r="G7" s="31"/>
      <c r="H7" s="31"/>
      <c r="I7" s="31"/>
      <c r="J7" s="124"/>
      <c r="K7" s="124">
        <f t="shared" si="2"/>
        <v>0</v>
      </c>
      <c r="L7" s="124"/>
      <c r="M7" s="75"/>
      <c r="N7" s="7">
        <f t="shared" si="1"/>
        <v>0</v>
      </c>
    </row>
    <row r="8" spans="1:14" x14ac:dyDescent="0.25">
      <c r="A8" s="67">
        <v>6</v>
      </c>
      <c r="B8" s="2" t="s">
        <v>483</v>
      </c>
      <c r="C8" s="6"/>
      <c r="D8" s="6"/>
      <c r="E8" s="6"/>
      <c r="F8" s="6"/>
      <c r="G8" s="31"/>
      <c r="H8" s="31"/>
      <c r="I8" s="31"/>
      <c r="J8" s="124"/>
      <c r="K8" s="124">
        <f t="shared" si="2"/>
        <v>0</v>
      </c>
      <c r="L8" s="124"/>
      <c r="M8" s="75"/>
      <c r="N8" s="7">
        <f t="shared" si="1"/>
        <v>0</v>
      </c>
    </row>
    <row r="9" spans="1:14" x14ac:dyDescent="0.25">
      <c r="A9" s="67">
        <v>7</v>
      </c>
      <c r="B9" s="2" t="s">
        <v>481</v>
      </c>
      <c r="C9" s="6"/>
      <c r="D9" s="6"/>
      <c r="E9" s="6"/>
      <c r="F9" s="6"/>
      <c r="G9" s="31"/>
      <c r="H9" s="31"/>
      <c r="I9" s="31"/>
      <c r="J9" s="124"/>
      <c r="K9" s="124">
        <f t="shared" si="2"/>
        <v>0</v>
      </c>
      <c r="L9" s="124"/>
      <c r="M9" s="75"/>
      <c r="N9" s="7">
        <f t="shared" si="1"/>
        <v>0</v>
      </c>
    </row>
    <row r="10" spans="1:14" x14ac:dyDescent="0.25">
      <c r="A10" s="67">
        <v>8</v>
      </c>
      <c r="B10" s="2" t="s">
        <v>482</v>
      </c>
      <c r="C10" s="6"/>
      <c r="D10" s="6"/>
      <c r="E10" s="6"/>
      <c r="F10" s="6"/>
      <c r="G10" s="31"/>
      <c r="H10" s="31"/>
      <c r="I10" s="31"/>
      <c r="J10" s="124"/>
      <c r="K10" s="124">
        <f t="shared" si="2"/>
        <v>0</v>
      </c>
      <c r="L10" s="124"/>
      <c r="M10" s="75"/>
      <c r="N10" s="7">
        <f t="shared" si="1"/>
        <v>0</v>
      </c>
    </row>
    <row r="11" spans="1:14" x14ac:dyDescent="0.25">
      <c r="A11" s="67">
        <v>9</v>
      </c>
      <c r="B11" s="2" t="s">
        <v>484</v>
      </c>
      <c r="C11" s="6"/>
      <c r="D11" s="6"/>
      <c r="E11" s="6"/>
      <c r="F11" s="6"/>
      <c r="G11" s="31"/>
      <c r="H11" s="31"/>
      <c r="I11" s="31"/>
      <c r="J11" s="3"/>
      <c r="K11" s="124">
        <f t="shared" si="2"/>
        <v>0</v>
      </c>
      <c r="L11" s="3"/>
      <c r="M11" s="3"/>
      <c r="N11" s="7">
        <f t="shared" si="1"/>
        <v>0</v>
      </c>
    </row>
    <row r="12" spans="1:14" x14ac:dyDescent="0.25">
      <c r="A12" s="67">
        <v>10</v>
      </c>
      <c r="B12" s="2" t="s">
        <v>485</v>
      </c>
      <c r="C12" s="6"/>
      <c r="D12" s="6"/>
      <c r="E12" s="6"/>
      <c r="F12" s="6"/>
      <c r="G12" s="31"/>
      <c r="H12" s="31"/>
      <c r="I12" s="31"/>
      <c r="J12" s="3"/>
      <c r="K12" s="124">
        <f t="shared" si="2"/>
        <v>0</v>
      </c>
      <c r="L12" s="3"/>
      <c r="M12" s="3"/>
      <c r="N12" s="7">
        <f t="shared" si="1"/>
        <v>0</v>
      </c>
    </row>
    <row r="13" spans="1:14" x14ac:dyDescent="0.25">
      <c r="A13" s="67">
        <v>11</v>
      </c>
      <c r="B13" s="2" t="s">
        <v>486</v>
      </c>
      <c r="C13" s="6"/>
      <c r="D13" s="6"/>
      <c r="E13" s="6"/>
      <c r="F13" s="6"/>
      <c r="G13" s="31"/>
      <c r="H13" s="31"/>
      <c r="I13" s="31"/>
      <c r="J13" s="3"/>
      <c r="K13" s="124">
        <f t="shared" si="2"/>
        <v>0</v>
      </c>
      <c r="L13" s="3"/>
      <c r="M13" s="3"/>
      <c r="N13" s="7">
        <f t="shared" si="1"/>
        <v>0</v>
      </c>
    </row>
    <row r="14" spans="1:14" x14ac:dyDescent="0.25">
      <c r="A14" s="67">
        <v>12</v>
      </c>
      <c r="B14" s="2" t="s">
        <v>487</v>
      </c>
      <c r="C14" s="6"/>
      <c r="D14" s="6"/>
      <c r="E14" s="6"/>
      <c r="F14" s="6"/>
      <c r="G14" s="31"/>
      <c r="H14" s="31"/>
      <c r="I14" s="31"/>
      <c r="J14" s="3"/>
      <c r="K14" s="124">
        <f t="shared" si="2"/>
        <v>0</v>
      </c>
      <c r="L14" s="3"/>
      <c r="M14" s="3"/>
      <c r="N14" s="7">
        <f t="shared" si="1"/>
        <v>0</v>
      </c>
    </row>
    <row r="15" spans="1:14" x14ac:dyDescent="0.25">
      <c r="A15" s="67">
        <v>13</v>
      </c>
      <c r="B15" s="2" t="s">
        <v>488</v>
      </c>
      <c r="C15" s="6"/>
      <c r="D15" s="6"/>
      <c r="E15" s="6"/>
      <c r="F15" s="6"/>
      <c r="G15" s="31"/>
      <c r="H15" s="31"/>
      <c r="I15" s="31"/>
      <c r="J15" s="3"/>
      <c r="K15" s="124">
        <f t="shared" si="2"/>
        <v>0</v>
      </c>
      <c r="L15" s="3"/>
      <c r="M15" s="3"/>
      <c r="N15" s="7">
        <f t="shared" si="1"/>
        <v>0</v>
      </c>
    </row>
    <row r="16" spans="1:14" x14ac:dyDescent="0.25">
      <c r="A16" s="67">
        <v>14</v>
      </c>
      <c r="B16" s="2" t="s">
        <v>473</v>
      </c>
      <c r="C16" s="6"/>
      <c r="D16" s="6"/>
      <c r="E16" s="6"/>
      <c r="F16" s="6"/>
      <c r="G16" s="31"/>
      <c r="H16" s="31"/>
      <c r="I16" s="31"/>
      <c r="J16" s="3"/>
      <c r="K16" s="124">
        <f t="shared" si="2"/>
        <v>0</v>
      </c>
      <c r="L16" s="3"/>
      <c r="M16" s="3"/>
      <c r="N16" s="7">
        <f t="shared" si="1"/>
        <v>0</v>
      </c>
    </row>
    <row r="17" spans="1:14" x14ac:dyDescent="0.25">
      <c r="A17" s="67">
        <v>15</v>
      </c>
      <c r="B17" s="2" t="s">
        <v>474</v>
      </c>
      <c r="C17" s="6"/>
      <c r="D17" s="6"/>
      <c r="E17" s="6"/>
      <c r="F17" s="6"/>
      <c r="G17" s="31"/>
      <c r="H17" s="31"/>
      <c r="I17" s="31"/>
      <c r="J17" s="3"/>
      <c r="K17" s="124">
        <f t="shared" si="2"/>
        <v>0</v>
      </c>
      <c r="L17" s="3"/>
      <c r="M17" s="3"/>
      <c r="N17" s="7">
        <f t="shared" si="1"/>
        <v>0</v>
      </c>
    </row>
    <row r="18" spans="1:14" x14ac:dyDescent="0.25">
      <c r="A18" s="67">
        <v>16</v>
      </c>
      <c r="B18" s="2" t="s">
        <v>489</v>
      </c>
      <c r="C18" s="6"/>
      <c r="D18" s="6"/>
      <c r="E18" s="6"/>
      <c r="F18" s="6"/>
      <c r="G18" s="31"/>
      <c r="H18" s="31"/>
      <c r="I18" s="31"/>
      <c r="J18" s="3"/>
      <c r="K18" s="124">
        <f t="shared" si="2"/>
        <v>0</v>
      </c>
      <c r="L18" s="3"/>
      <c r="M18" s="3"/>
      <c r="N18" s="7">
        <f t="shared" si="1"/>
        <v>0</v>
      </c>
    </row>
    <row r="19" spans="1:14" x14ac:dyDescent="0.25">
      <c r="A19" s="67">
        <v>17</v>
      </c>
      <c r="B19" s="2" t="s">
        <v>475</v>
      </c>
      <c r="C19" s="6"/>
      <c r="D19" s="6"/>
      <c r="E19" s="6"/>
      <c r="F19" s="6"/>
      <c r="G19" s="31"/>
      <c r="H19" s="31"/>
      <c r="I19" s="31"/>
      <c r="J19" s="3"/>
      <c r="K19" s="124">
        <f t="shared" si="2"/>
        <v>0</v>
      </c>
      <c r="L19" s="3"/>
      <c r="M19" s="3"/>
      <c r="N19" s="7">
        <f t="shared" si="1"/>
        <v>0</v>
      </c>
    </row>
    <row r="20" spans="1:14" x14ac:dyDescent="0.25">
      <c r="A20" s="67">
        <v>18</v>
      </c>
      <c r="B20" s="2" t="s">
        <v>490</v>
      </c>
      <c r="C20" s="6"/>
      <c r="D20" s="6"/>
      <c r="E20" s="6"/>
      <c r="F20" s="6"/>
      <c r="G20" s="31"/>
      <c r="H20" s="31"/>
      <c r="I20" s="31"/>
      <c r="J20" s="3"/>
      <c r="K20" s="124">
        <f t="shared" si="2"/>
        <v>0</v>
      </c>
      <c r="L20" s="3"/>
      <c r="M20" s="3"/>
      <c r="N20" s="7">
        <f t="shared" si="1"/>
        <v>0</v>
      </c>
    </row>
    <row r="21" spans="1:14" x14ac:dyDescent="0.25">
      <c r="A21" s="67">
        <v>19</v>
      </c>
      <c r="B21" s="2" t="s">
        <v>491</v>
      </c>
      <c r="C21" s="6"/>
      <c r="D21" s="6"/>
      <c r="E21" s="6"/>
      <c r="F21" s="6"/>
      <c r="G21" s="31"/>
      <c r="H21" s="31"/>
      <c r="I21" s="31"/>
      <c r="J21" s="3"/>
      <c r="K21" s="124">
        <f t="shared" si="2"/>
        <v>0</v>
      </c>
      <c r="L21" s="3"/>
      <c r="M21" s="3"/>
      <c r="N21" s="7">
        <f t="shared" si="1"/>
        <v>0</v>
      </c>
    </row>
    <row r="22" spans="1:14" x14ac:dyDescent="0.25">
      <c r="A22" s="67">
        <v>20</v>
      </c>
      <c r="B22" s="2" t="s">
        <v>477</v>
      </c>
      <c r="C22" s="6"/>
      <c r="D22" s="6"/>
      <c r="E22" s="6"/>
      <c r="F22" s="6"/>
      <c r="G22" s="31"/>
      <c r="H22" s="31"/>
      <c r="I22" s="31"/>
      <c r="J22" s="3"/>
      <c r="K22" s="124">
        <f t="shared" si="2"/>
        <v>0</v>
      </c>
      <c r="L22" s="3"/>
      <c r="M22" s="3"/>
      <c r="N22" s="7">
        <f t="shared" si="1"/>
        <v>0</v>
      </c>
    </row>
    <row r="23" spans="1:14" x14ac:dyDescent="0.25">
      <c r="A23" s="67">
        <v>21</v>
      </c>
      <c r="B23" s="2" t="s">
        <v>492</v>
      </c>
      <c r="C23" s="6"/>
      <c r="D23" s="6"/>
      <c r="E23" s="6"/>
      <c r="F23" s="6"/>
      <c r="G23" s="31"/>
      <c r="H23" s="31"/>
      <c r="I23" s="31"/>
      <c r="J23" s="3"/>
      <c r="K23" s="124">
        <f t="shared" si="2"/>
        <v>0</v>
      </c>
      <c r="L23" s="3"/>
      <c r="M23" s="3"/>
      <c r="N23" s="7">
        <f t="shared" si="1"/>
        <v>0</v>
      </c>
    </row>
    <row r="24" spans="1:14" x14ac:dyDescent="0.25">
      <c r="A24" s="67">
        <v>22</v>
      </c>
      <c r="B24" s="2" t="s">
        <v>493</v>
      </c>
      <c r="C24" s="6"/>
      <c r="D24" s="6"/>
      <c r="E24" s="6"/>
      <c r="F24" s="6"/>
      <c r="G24" s="31"/>
      <c r="H24" s="31"/>
      <c r="I24" s="31"/>
      <c r="J24" s="3"/>
      <c r="K24" s="124">
        <f t="shared" si="2"/>
        <v>0</v>
      </c>
      <c r="L24" s="3"/>
      <c r="M24" s="26"/>
      <c r="N24" s="7">
        <f t="shared" si="1"/>
        <v>0</v>
      </c>
    </row>
    <row r="25" spans="1:14" x14ac:dyDescent="0.25">
      <c r="A25" s="67">
        <v>23</v>
      </c>
      <c r="B25" s="2" t="s">
        <v>494</v>
      </c>
      <c r="C25" s="6"/>
      <c r="D25" s="6"/>
      <c r="E25" s="6"/>
      <c r="F25" s="6"/>
      <c r="G25" s="31"/>
      <c r="H25" s="31"/>
      <c r="I25" s="31"/>
      <c r="J25" s="3"/>
      <c r="K25" s="124">
        <f t="shared" si="2"/>
        <v>0</v>
      </c>
      <c r="L25" s="3"/>
      <c r="M25" s="26"/>
      <c r="N25" s="7">
        <f t="shared" si="1"/>
        <v>0</v>
      </c>
    </row>
    <row r="26" spans="1:14" x14ac:dyDescent="0.25">
      <c r="A26" s="67">
        <v>24</v>
      </c>
      <c r="B26" s="2" t="s">
        <v>476</v>
      </c>
      <c r="C26" s="6"/>
      <c r="D26" s="6"/>
      <c r="E26" s="6"/>
      <c r="F26" s="6"/>
      <c r="G26" s="31"/>
      <c r="H26" s="31"/>
      <c r="I26" s="31"/>
      <c r="J26" s="3"/>
      <c r="K26" s="124">
        <f t="shared" si="2"/>
        <v>0</v>
      </c>
      <c r="L26" s="3"/>
      <c r="M26" s="26"/>
      <c r="N26" s="7">
        <f t="shared" si="1"/>
        <v>0</v>
      </c>
    </row>
    <row r="27" spans="1:14" x14ac:dyDescent="0.25">
      <c r="A27" s="67">
        <v>25</v>
      </c>
      <c r="B27" s="2" t="s">
        <v>495</v>
      </c>
      <c r="C27" s="6"/>
      <c r="D27" s="6"/>
      <c r="E27" s="6"/>
      <c r="F27" s="6"/>
      <c r="G27" s="31"/>
      <c r="H27" s="31"/>
      <c r="I27" s="31"/>
      <c r="J27" s="3"/>
      <c r="K27" s="124">
        <f t="shared" si="2"/>
        <v>0</v>
      </c>
      <c r="L27" s="3"/>
      <c r="M27" s="26"/>
      <c r="N27" s="7">
        <f t="shared" si="1"/>
        <v>0</v>
      </c>
    </row>
    <row r="28" spans="1:14" ht="30" x14ac:dyDescent="0.25">
      <c r="A28" s="67">
        <v>26</v>
      </c>
      <c r="B28" s="2" t="s">
        <v>496</v>
      </c>
      <c r="C28" s="6"/>
      <c r="D28" s="6"/>
      <c r="E28" s="6"/>
      <c r="F28" s="6"/>
      <c r="G28" s="31"/>
      <c r="H28" s="31"/>
      <c r="I28" s="31"/>
      <c r="J28" s="3"/>
      <c r="K28" s="124">
        <f t="shared" si="2"/>
        <v>0</v>
      </c>
      <c r="L28" s="3"/>
      <c r="M28" s="26"/>
      <c r="N28" s="7">
        <f t="shared" si="1"/>
        <v>0</v>
      </c>
    </row>
    <row r="29" spans="1:14" x14ac:dyDescent="0.25">
      <c r="A29" s="67">
        <v>27</v>
      </c>
      <c r="B29" s="2" t="s">
        <v>472</v>
      </c>
      <c r="C29" s="6"/>
      <c r="D29" s="6"/>
      <c r="E29" s="6"/>
      <c r="F29" s="6"/>
      <c r="G29" s="31"/>
      <c r="H29" s="31"/>
      <c r="I29" s="31"/>
      <c r="J29" s="3"/>
      <c r="K29" s="124">
        <f t="shared" si="2"/>
        <v>0</v>
      </c>
      <c r="L29" s="3"/>
      <c r="M29" s="26"/>
      <c r="N29" s="7">
        <f t="shared" si="1"/>
        <v>0</v>
      </c>
    </row>
    <row r="30" spans="1:14" x14ac:dyDescent="0.25">
      <c r="A30" s="67">
        <v>28</v>
      </c>
      <c r="B30" s="2" t="s">
        <v>497</v>
      </c>
      <c r="C30" s="6"/>
      <c r="D30" s="6"/>
      <c r="E30" s="6"/>
      <c r="F30" s="6"/>
      <c r="G30" s="31"/>
      <c r="H30" s="31"/>
      <c r="I30" s="31"/>
      <c r="J30" s="3"/>
      <c r="K30" s="124">
        <f t="shared" si="2"/>
        <v>0</v>
      </c>
      <c r="L30" s="3"/>
      <c r="M30" s="26"/>
      <c r="N30" s="7">
        <f t="shared" si="1"/>
        <v>0</v>
      </c>
    </row>
    <row r="31" spans="1:14" x14ac:dyDescent="0.25">
      <c r="A31" s="67">
        <v>29</v>
      </c>
      <c r="B31" s="124"/>
      <c r="C31" s="6"/>
      <c r="D31" s="6"/>
      <c r="E31" s="6"/>
      <c r="F31" s="6"/>
      <c r="G31" s="31"/>
      <c r="H31" s="31"/>
      <c r="I31" s="31"/>
      <c r="J31" s="3"/>
      <c r="K31" s="124">
        <f t="shared" si="2"/>
        <v>0</v>
      </c>
      <c r="L31" s="3"/>
      <c r="M31" s="26"/>
      <c r="N31" s="7">
        <f t="shared" si="1"/>
        <v>0</v>
      </c>
    </row>
    <row r="32" spans="1:14" x14ac:dyDescent="0.25">
      <c r="A32" s="67">
        <v>30</v>
      </c>
      <c r="B32" s="124"/>
      <c r="C32" s="6"/>
      <c r="D32" s="6"/>
      <c r="E32" s="6"/>
      <c r="F32" s="6"/>
      <c r="G32" s="31"/>
      <c r="H32" s="31"/>
      <c r="I32" s="31"/>
      <c r="J32" s="3"/>
      <c r="K32" s="124">
        <f t="shared" si="2"/>
        <v>0</v>
      </c>
      <c r="L32" s="3"/>
      <c r="M32" s="26"/>
      <c r="N32" s="7">
        <f t="shared" si="1"/>
        <v>0</v>
      </c>
    </row>
    <row r="33" spans="1:14" x14ac:dyDescent="0.25">
      <c r="A33" s="67"/>
      <c r="B33" s="65" t="s">
        <v>124</v>
      </c>
      <c r="C33" s="10" t="s">
        <v>27</v>
      </c>
      <c r="D33" s="10" t="s">
        <v>28</v>
      </c>
      <c r="E33" s="10" t="s">
        <v>54</v>
      </c>
      <c r="F33" s="10" t="s">
        <v>21</v>
      </c>
      <c r="G33" s="62" t="s">
        <v>37</v>
      </c>
      <c r="H33" s="62" t="s">
        <v>38</v>
      </c>
      <c r="I33" s="62"/>
      <c r="J33" s="10" t="s">
        <v>1</v>
      </c>
      <c r="K33" s="10" t="s">
        <v>0</v>
      </c>
      <c r="L33" s="10" t="s">
        <v>1</v>
      </c>
      <c r="M33" s="10" t="s">
        <v>47</v>
      </c>
      <c r="N33" s="10" t="s">
        <v>12</v>
      </c>
    </row>
    <row r="34" spans="1:14" x14ac:dyDescent="0.25">
      <c r="A34" s="67">
        <v>1</v>
      </c>
      <c r="B34" s="2" t="s">
        <v>422</v>
      </c>
      <c r="C34" s="6"/>
      <c r="D34" s="6"/>
      <c r="E34" s="6"/>
      <c r="F34" s="6"/>
      <c r="G34" s="31"/>
      <c r="H34" s="31"/>
      <c r="I34" s="31"/>
      <c r="J34" s="3"/>
      <c r="K34" s="3">
        <f t="shared" ref="K34:K63" si="3">SUM(C34:J34)</f>
        <v>0</v>
      </c>
      <c r="L34" s="3"/>
      <c r="M34" s="26"/>
      <c r="N34" s="7">
        <f t="shared" ref="N34:N63" si="4">NormalizeResult($C$71,$D$71,$C$70,$D$70,$C$69,$D$69,K34)+L34+IF(M34&gt;$M$64,M34*$M$65,0)</f>
        <v>0</v>
      </c>
    </row>
    <row r="35" spans="1:14" x14ac:dyDescent="0.25">
      <c r="A35" s="67">
        <v>2</v>
      </c>
      <c r="B35" s="2" t="s">
        <v>423</v>
      </c>
      <c r="C35" s="6"/>
      <c r="D35" s="6"/>
      <c r="E35" s="6"/>
      <c r="F35" s="6"/>
      <c r="G35" s="31"/>
      <c r="H35" s="31"/>
      <c r="I35" s="31"/>
      <c r="J35" s="124"/>
      <c r="K35" s="124">
        <f t="shared" si="3"/>
        <v>0</v>
      </c>
      <c r="L35" s="124"/>
      <c r="M35" s="26"/>
      <c r="N35" s="7">
        <f t="shared" si="4"/>
        <v>0</v>
      </c>
    </row>
    <row r="36" spans="1:14" x14ac:dyDescent="0.25">
      <c r="A36" s="67">
        <v>3</v>
      </c>
      <c r="B36" s="2" t="s">
        <v>424</v>
      </c>
      <c r="C36" s="6"/>
      <c r="D36" s="6"/>
      <c r="E36" s="6"/>
      <c r="F36" s="6"/>
      <c r="G36" s="31"/>
      <c r="H36" s="31"/>
      <c r="I36" s="31"/>
      <c r="J36" s="124"/>
      <c r="K36" s="124">
        <f t="shared" si="3"/>
        <v>0</v>
      </c>
      <c r="L36" s="124"/>
      <c r="M36" s="26"/>
      <c r="N36" s="7">
        <f t="shared" si="4"/>
        <v>0</v>
      </c>
    </row>
    <row r="37" spans="1:14" x14ac:dyDescent="0.25">
      <c r="A37" s="67">
        <v>4</v>
      </c>
      <c r="B37" s="2" t="s">
        <v>425</v>
      </c>
      <c r="C37" s="6"/>
      <c r="D37" s="6"/>
      <c r="E37" s="6"/>
      <c r="F37" s="6"/>
      <c r="G37" s="31"/>
      <c r="H37" s="31"/>
      <c r="I37" s="31"/>
      <c r="J37" s="124"/>
      <c r="K37" s="124">
        <f t="shared" si="3"/>
        <v>0</v>
      </c>
      <c r="L37" s="124"/>
      <c r="M37" s="26"/>
      <c r="N37" s="7">
        <f t="shared" si="4"/>
        <v>0</v>
      </c>
    </row>
    <row r="38" spans="1:14" x14ac:dyDescent="0.25">
      <c r="A38" s="67">
        <v>5</v>
      </c>
      <c r="B38" s="2" t="s">
        <v>426</v>
      </c>
      <c r="C38" s="6"/>
      <c r="D38" s="6"/>
      <c r="E38" s="6"/>
      <c r="F38" s="6"/>
      <c r="G38" s="31"/>
      <c r="H38" s="31"/>
      <c r="I38" s="31"/>
      <c r="J38" s="124"/>
      <c r="K38" s="124">
        <f t="shared" si="3"/>
        <v>0</v>
      </c>
      <c r="L38" s="124"/>
      <c r="M38" s="26"/>
      <c r="N38" s="7">
        <f t="shared" si="4"/>
        <v>0</v>
      </c>
    </row>
    <row r="39" spans="1:14" x14ac:dyDescent="0.25">
      <c r="A39" s="67">
        <v>6</v>
      </c>
      <c r="B39" s="2" t="s">
        <v>427</v>
      </c>
      <c r="C39" s="6"/>
      <c r="D39" s="6"/>
      <c r="E39" s="6"/>
      <c r="F39" s="6"/>
      <c r="G39" s="31"/>
      <c r="H39" s="31"/>
      <c r="I39" s="31"/>
      <c r="J39" s="124"/>
      <c r="K39" s="124">
        <f t="shared" si="3"/>
        <v>0</v>
      </c>
      <c r="L39" s="124"/>
      <c r="M39" s="26"/>
      <c r="N39" s="7">
        <f t="shared" si="4"/>
        <v>0</v>
      </c>
    </row>
    <row r="40" spans="1:14" x14ac:dyDescent="0.25">
      <c r="A40" s="67">
        <v>7</v>
      </c>
      <c r="B40" s="2" t="s">
        <v>428</v>
      </c>
      <c r="C40" s="6"/>
      <c r="D40" s="6"/>
      <c r="E40" s="6"/>
      <c r="F40" s="6"/>
      <c r="G40" s="31"/>
      <c r="H40" s="31"/>
      <c r="I40" s="31"/>
      <c r="J40" s="124"/>
      <c r="K40" s="124">
        <f t="shared" si="3"/>
        <v>0</v>
      </c>
      <c r="L40" s="124"/>
      <c r="M40" s="26"/>
      <c r="N40" s="7">
        <f t="shared" si="4"/>
        <v>0</v>
      </c>
    </row>
    <row r="41" spans="1:14" x14ac:dyDescent="0.25">
      <c r="A41" s="67">
        <v>8</v>
      </c>
      <c r="B41" s="2" t="s">
        <v>429</v>
      </c>
      <c r="C41" s="6"/>
      <c r="D41" s="6"/>
      <c r="E41" s="6"/>
      <c r="F41" s="6"/>
      <c r="G41" s="31"/>
      <c r="H41" s="31"/>
      <c r="I41" s="31"/>
      <c r="J41" s="124"/>
      <c r="K41" s="124">
        <f t="shared" si="3"/>
        <v>0</v>
      </c>
      <c r="L41" s="124"/>
      <c r="M41" s="26"/>
      <c r="N41" s="7">
        <f t="shared" si="4"/>
        <v>0</v>
      </c>
    </row>
    <row r="42" spans="1:14" x14ac:dyDescent="0.25">
      <c r="A42" s="67">
        <v>9</v>
      </c>
      <c r="B42" s="2" t="s">
        <v>430</v>
      </c>
      <c r="C42" s="6"/>
      <c r="D42" s="6"/>
      <c r="E42" s="6"/>
      <c r="F42" s="6"/>
      <c r="G42" s="31"/>
      <c r="H42" s="31"/>
      <c r="I42" s="31"/>
      <c r="J42" s="124"/>
      <c r="K42" s="124">
        <f t="shared" si="3"/>
        <v>0</v>
      </c>
      <c r="L42" s="124"/>
      <c r="M42" s="26"/>
      <c r="N42" s="7">
        <f t="shared" si="4"/>
        <v>0</v>
      </c>
    </row>
    <row r="43" spans="1:14" x14ac:dyDescent="0.25">
      <c r="A43" s="67">
        <v>10</v>
      </c>
      <c r="B43" s="2" t="s">
        <v>431</v>
      </c>
      <c r="C43" s="6"/>
      <c r="D43" s="6"/>
      <c r="E43" s="6"/>
      <c r="F43" s="6"/>
      <c r="G43" s="31"/>
      <c r="H43" s="31"/>
      <c r="I43" s="31"/>
      <c r="J43" s="124"/>
      <c r="K43" s="124">
        <f t="shared" si="3"/>
        <v>0</v>
      </c>
      <c r="L43" s="124"/>
      <c r="M43" s="26"/>
      <c r="N43" s="7">
        <f t="shared" si="4"/>
        <v>0</v>
      </c>
    </row>
    <row r="44" spans="1:14" x14ac:dyDescent="0.25">
      <c r="A44" s="67">
        <v>11</v>
      </c>
      <c r="B44" s="2" t="s">
        <v>432</v>
      </c>
      <c r="C44" s="6"/>
      <c r="D44" s="6"/>
      <c r="E44" s="6"/>
      <c r="F44" s="6"/>
      <c r="G44" s="31"/>
      <c r="H44" s="31"/>
      <c r="I44" s="31"/>
      <c r="J44" s="124"/>
      <c r="K44" s="124">
        <f t="shared" si="3"/>
        <v>0</v>
      </c>
      <c r="L44" s="124"/>
      <c r="M44" s="26"/>
      <c r="N44" s="7">
        <f t="shared" si="4"/>
        <v>0</v>
      </c>
    </row>
    <row r="45" spans="1:14" x14ac:dyDescent="0.25">
      <c r="A45" s="67">
        <v>12</v>
      </c>
      <c r="B45" s="2" t="s">
        <v>433</v>
      </c>
      <c r="C45" s="6"/>
      <c r="D45" s="6"/>
      <c r="E45" s="6"/>
      <c r="F45" s="6"/>
      <c r="G45" s="31"/>
      <c r="H45" s="31"/>
      <c r="I45" s="31"/>
      <c r="J45" s="124"/>
      <c r="K45" s="124">
        <f t="shared" si="3"/>
        <v>0</v>
      </c>
      <c r="L45" s="124"/>
      <c r="M45" s="26"/>
      <c r="N45" s="7">
        <f t="shared" si="4"/>
        <v>0</v>
      </c>
    </row>
    <row r="46" spans="1:14" x14ac:dyDescent="0.25">
      <c r="A46" s="67">
        <v>13</v>
      </c>
      <c r="B46" s="2" t="s">
        <v>434</v>
      </c>
      <c r="C46" s="6"/>
      <c r="D46" s="6"/>
      <c r="E46" s="6"/>
      <c r="F46" s="6"/>
      <c r="G46" s="31"/>
      <c r="H46" s="31"/>
      <c r="I46" s="31"/>
      <c r="J46" s="124"/>
      <c r="K46" s="124">
        <f t="shared" si="3"/>
        <v>0</v>
      </c>
      <c r="L46" s="124"/>
      <c r="M46" s="26"/>
      <c r="N46" s="7">
        <f t="shared" si="4"/>
        <v>0</v>
      </c>
    </row>
    <row r="47" spans="1:14" x14ac:dyDescent="0.25">
      <c r="A47" s="67">
        <v>14</v>
      </c>
      <c r="B47" s="2" t="s">
        <v>435</v>
      </c>
      <c r="C47" s="6"/>
      <c r="D47" s="6"/>
      <c r="E47" s="6"/>
      <c r="F47" s="6"/>
      <c r="G47" s="31"/>
      <c r="H47" s="31"/>
      <c r="I47" s="31"/>
      <c r="J47" s="124"/>
      <c r="K47" s="124">
        <f t="shared" si="3"/>
        <v>0</v>
      </c>
      <c r="L47" s="124"/>
      <c r="M47" s="26"/>
      <c r="N47" s="7">
        <f t="shared" si="4"/>
        <v>0</v>
      </c>
    </row>
    <row r="48" spans="1:14" x14ac:dyDescent="0.25">
      <c r="A48" s="67">
        <v>15</v>
      </c>
      <c r="B48" s="2" t="s">
        <v>436</v>
      </c>
      <c r="C48" s="6"/>
      <c r="D48" s="6"/>
      <c r="E48" s="6"/>
      <c r="F48" s="6"/>
      <c r="G48" s="31"/>
      <c r="H48" s="31"/>
      <c r="I48" s="31"/>
      <c r="J48" s="124"/>
      <c r="K48" s="124">
        <f t="shared" si="3"/>
        <v>0</v>
      </c>
      <c r="L48" s="124"/>
      <c r="M48" s="26"/>
      <c r="N48" s="7">
        <f t="shared" si="4"/>
        <v>0</v>
      </c>
    </row>
    <row r="49" spans="1:14" x14ac:dyDescent="0.25">
      <c r="A49" s="67">
        <v>16</v>
      </c>
      <c r="B49" s="2" t="s">
        <v>437</v>
      </c>
      <c r="C49" s="6"/>
      <c r="D49" s="6"/>
      <c r="E49" s="6"/>
      <c r="F49" s="6"/>
      <c r="G49" s="31"/>
      <c r="H49" s="31"/>
      <c r="I49" s="31"/>
      <c r="J49" s="3"/>
      <c r="K49" s="124">
        <f t="shared" si="3"/>
        <v>0</v>
      </c>
      <c r="L49" s="3"/>
      <c r="M49" s="26"/>
      <c r="N49" s="7">
        <f t="shared" si="4"/>
        <v>0</v>
      </c>
    </row>
    <row r="50" spans="1:14" x14ac:dyDescent="0.25">
      <c r="A50" s="67">
        <v>17</v>
      </c>
      <c r="B50" s="2" t="s">
        <v>438</v>
      </c>
      <c r="C50" s="6"/>
      <c r="D50" s="6"/>
      <c r="E50" s="6"/>
      <c r="F50" s="6"/>
      <c r="G50" s="31"/>
      <c r="H50" s="31"/>
      <c r="I50" s="31"/>
      <c r="J50" s="3"/>
      <c r="K50" s="124">
        <f t="shared" si="3"/>
        <v>0</v>
      </c>
      <c r="L50" s="3"/>
      <c r="M50" s="26"/>
      <c r="N50" s="7">
        <f t="shared" si="4"/>
        <v>0</v>
      </c>
    </row>
    <row r="51" spans="1:14" x14ac:dyDescent="0.25">
      <c r="A51" s="67">
        <v>18</v>
      </c>
      <c r="B51" s="2" t="s">
        <v>439</v>
      </c>
      <c r="C51" s="6"/>
      <c r="D51" s="6"/>
      <c r="E51" s="6"/>
      <c r="F51" s="6"/>
      <c r="G51" s="31"/>
      <c r="H51" s="31"/>
      <c r="I51" s="31"/>
      <c r="J51" s="3"/>
      <c r="K51" s="124">
        <f t="shared" si="3"/>
        <v>0</v>
      </c>
      <c r="L51" s="3"/>
      <c r="M51" s="26"/>
      <c r="N51" s="7">
        <f t="shared" si="4"/>
        <v>0</v>
      </c>
    </row>
    <row r="52" spans="1:14" x14ac:dyDescent="0.25">
      <c r="A52" s="67">
        <v>19</v>
      </c>
      <c r="B52" s="2" t="s">
        <v>440</v>
      </c>
      <c r="C52" s="6"/>
      <c r="D52" s="6"/>
      <c r="E52" s="6"/>
      <c r="F52" s="6"/>
      <c r="G52" s="31"/>
      <c r="H52" s="31"/>
      <c r="I52" s="31"/>
      <c r="J52" s="3"/>
      <c r="K52" s="124">
        <f t="shared" si="3"/>
        <v>0</v>
      </c>
      <c r="L52" s="3"/>
      <c r="M52" s="26"/>
      <c r="N52" s="7">
        <f t="shared" si="4"/>
        <v>0</v>
      </c>
    </row>
    <row r="53" spans="1:14" x14ac:dyDescent="0.25">
      <c r="A53" s="67">
        <v>20</v>
      </c>
      <c r="B53" s="2" t="s">
        <v>441</v>
      </c>
      <c r="C53" s="6"/>
      <c r="D53" s="6"/>
      <c r="E53" s="6"/>
      <c r="F53" s="6"/>
      <c r="G53" s="31"/>
      <c r="H53" s="31"/>
      <c r="I53" s="31"/>
      <c r="J53" s="3"/>
      <c r="K53" s="3">
        <f t="shared" si="3"/>
        <v>0</v>
      </c>
      <c r="L53" s="3"/>
      <c r="M53" s="26"/>
      <c r="N53" s="7">
        <f t="shared" si="4"/>
        <v>0</v>
      </c>
    </row>
    <row r="54" spans="1:14" x14ac:dyDescent="0.25">
      <c r="A54" s="67">
        <v>21</v>
      </c>
      <c r="B54" s="2" t="s">
        <v>442</v>
      </c>
      <c r="C54" s="6"/>
      <c r="D54" s="6"/>
      <c r="E54" s="6"/>
      <c r="F54" s="6"/>
      <c r="G54" s="31"/>
      <c r="H54" s="31"/>
      <c r="I54" s="31"/>
      <c r="J54" s="3"/>
      <c r="K54" s="3">
        <f t="shared" si="3"/>
        <v>0</v>
      </c>
      <c r="L54" s="3"/>
      <c r="M54" s="26"/>
      <c r="N54" s="7">
        <f t="shared" si="4"/>
        <v>0</v>
      </c>
    </row>
    <row r="55" spans="1:14" x14ac:dyDescent="0.25">
      <c r="A55" s="67">
        <v>22</v>
      </c>
      <c r="B55" s="2" t="s">
        <v>443</v>
      </c>
      <c r="C55" s="6"/>
      <c r="D55" s="6"/>
      <c r="E55" s="6"/>
      <c r="F55" s="6"/>
      <c r="G55" s="31"/>
      <c r="H55" s="31"/>
      <c r="I55" s="31"/>
      <c r="J55" s="3"/>
      <c r="K55" s="3">
        <f t="shared" si="3"/>
        <v>0</v>
      </c>
      <c r="L55" s="3"/>
      <c r="M55" s="26"/>
      <c r="N55" s="7">
        <f t="shared" si="4"/>
        <v>0</v>
      </c>
    </row>
    <row r="56" spans="1:14" x14ac:dyDescent="0.25">
      <c r="A56" s="67">
        <v>23</v>
      </c>
      <c r="B56" s="2" t="s">
        <v>444</v>
      </c>
      <c r="C56" s="6"/>
      <c r="D56" s="6"/>
      <c r="E56" s="6"/>
      <c r="F56" s="6"/>
      <c r="G56" s="31"/>
      <c r="H56" s="31"/>
      <c r="I56" s="31"/>
      <c r="J56" s="3"/>
      <c r="K56" s="3">
        <f t="shared" si="3"/>
        <v>0</v>
      </c>
      <c r="L56" s="3"/>
      <c r="M56" s="26"/>
      <c r="N56" s="7">
        <f t="shared" si="4"/>
        <v>0</v>
      </c>
    </row>
    <row r="57" spans="1:14" x14ac:dyDescent="0.25">
      <c r="A57" s="67">
        <v>24</v>
      </c>
      <c r="B57" s="2" t="s">
        <v>445</v>
      </c>
      <c r="C57" s="6"/>
      <c r="D57" s="6"/>
      <c r="E57" s="6"/>
      <c r="F57" s="6"/>
      <c r="G57" s="31"/>
      <c r="H57" s="31"/>
      <c r="I57" s="31"/>
      <c r="J57" s="3"/>
      <c r="K57" s="3">
        <f t="shared" si="3"/>
        <v>0</v>
      </c>
      <c r="L57" s="3"/>
      <c r="M57" s="26"/>
      <c r="N57" s="7">
        <f t="shared" si="4"/>
        <v>0</v>
      </c>
    </row>
    <row r="58" spans="1:14" x14ac:dyDescent="0.25">
      <c r="A58" s="67">
        <v>25</v>
      </c>
      <c r="B58" s="2" t="s">
        <v>446</v>
      </c>
      <c r="C58" s="6"/>
      <c r="D58" s="6"/>
      <c r="E58" s="6"/>
      <c r="F58" s="6"/>
      <c r="G58" s="31"/>
      <c r="H58" s="31"/>
      <c r="I58" s="31"/>
      <c r="J58" s="3"/>
      <c r="K58" s="3">
        <f t="shared" si="3"/>
        <v>0</v>
      </c>
      <c r="L58" s="3"/>
      <c r="M58" s="26"/>
      <c r="N58" s="7">
        <f t="shared" si="4"/>
        <v>0</v>
      </c>
    </row>
    <row r="59" spans="1:14" x14ac:dyDescent="0.25">
      <c r="A59" s="67">
        <v>26</v>
      </c>
      <c r="B59" s="2" t="s">
        <v>447</v>
      </c>
      <c r="C59" s="6"/>
      <c r="D59" s="6"/>
      <c r="E59" s="6"/>
      <c r="F59" s="6"/>
      <c r="G59" s="31"/>
      <c r="H59" s="31"/>
      <c r="I59" s="31"/>
      <c r="J59" s="3"/>
      <c r="K59" s="3">
        <f t="shared" si="3"/>
        <v>0</v>
      </c>
      <c r="L59" s="3"/>
      <c r="M59" s="26"/>
      <c r="N59" s="7">
        <f t="shared" si="4"/>
        <v>0</v>
      </c>
    </row>
    <row r="60" spans="1:14" x14ac:dyDescent="0.25">
      <c r="A60" s="67">
        <v>27</v>
      </c>
      <c r="B60" s="2" t="s">
        <v>448</v>
      </c>
      <c r="C60" s="6"/>
      <c r="D60" s="6"/>
      <c r="E60" s="6"/>
      <c r="F60" s="6"/>
      <c r="G60" s="31"/>
      <c r="H60" s="31"/>
      <c r="I60" s="31"/>
      <c r="J60" s="3"/>
      <c r="K60" s="3">
        <f t="shared" si="3"/>
        <v>0</v>
      </c>
      <c r="L60" s="3"/>
      <c r="M60" s="26"/>
      <c r="N60" s="7">
        <f t="shared" si="4"/>
        <v>0</v>
      </c>
    </row>
    <row r="61" spans="1:14" x14ac:dyDescent="0.25">
      <c r="A61" s="67">
        <v>28</v>
      </c>
      <c r="B61" s="124"/>
      <c r="C61" s="6"/>
      <c r="D61" s="6"/>
      <c r="E61" s="6"/>
      <c r="F61" s="6"/>
      <c r="G61" s="31"/>
      <c r="H61" s="31"/>
      <c r="I61" s="31"/>
      <c r="J61" s="3"/>
      <c r="K61" s="3">
        <f t="shared" si="3"/>
        <v>0</v>
      </c>
      <c r="L61" s="3"/>
      <c r="M61" s="26"/>
      <c r="N61" s="7">
        <f t="shared" si="4"/>
        <v>0</v>
      </c>
    </row>
    <row r="62" spans="1:14" x14ac:dyDescent="0.25">
      <c r="A62" s="67">
        <v>29</v>
      </c>
      <c r="B62" s="124"/>
      <c r="C62" s="6"/>
      <c r="D62" s="6"/>
      <c r="E62" s="6"/>
      <c r="F62" s="6"/>
      <c r="G62" s="31"/>
      <c r="H62" s="31"/>
      <c r="I62" s="31"/>
      <c r="J62" s="3"/>
      <c r="K62" s="3">
        <f t="shared" si="3"/>
        <v>0</v>
      </c>
      <c r="L62" s="3"/>
      <c r="M62" s="26"/>
      <c r="N62" s="7">
        <f t="shared" si="4"/>
        <v>0</v>
      </c>
    </row>
    <row r="63" spans="1:14" x14ac:dyDescent="0.25">
      <c r="A63" s="67">
        <v>30</v>
      </c>
      <c r="B63" s="124"/>
      <c r="C63" s="6"/>
      <c r="D63" s="6"/>
      <c r="E63" s="6"/>
      <c r="F63" s="6"/>
      <c r="G63" s="31"/>
      <c r="H63" s="31"/>
      <c r="I63" s="31"/>
      <c r="J63" s="3"/>
      <c r="K63" s="3">
        <f t="shared" si="3"/>
        <v>0</v>
      </c>
      <c r="L63" s="3"/>
      <c r="M63" s="26"/>
      <c r="N63" s="7">
        <f t="shared" si="4"/>
        <v>0</v>
      </c>
    </row>
    <row r="64" spans="1:14" x14ac:dyDescent="0.25">
      <c r="B64" s="1" t="s">
        <v>18</v>
      </c>
      <c r="C64">
        <v>10</v>
      </c>
      <c r="D64">
        <v>10</v>
      </c>
      <c r="E64">
        <v>5</v>
      </c>
      <c r="F64">
        <v>30</v>
      </c>
      <c r="G64">
        <v>60</v>
      </c>
      <c r="H64">
        <v>40</v>
      </c>
      <c r="M64" s="22">
        <v>0.6</v>
      </c>
    </row>
    <row r="65" spans="2:13" x14ac:dyDescent="0.25">
      <c r="L65" t="s">
        <v>48</v>
      </c>
      <c r="M65" s="27">
        <v>0.2</v>
      </c>
    </row>
    <row r="68" spans="2:13" x14ac:dyDescent="0.25">
      <c r="C68" t="s">
        <v>16</v>
      </c>
      <c r="D68" t="s">
        <v>17</v>
      </c>
      <c r="K68" s="11"/>
    </row>
    <row r="69" spans="2:13" x14ac:dyDescent="0.25">
      <c r="B69" t="s">
        <v>13</v>
      </c>
      <c r="C69">
        <v>140</v>
      </c>
      <c r="D69">
        <f>D71*1.5</f>
        <v>3</v>
      </c>
      <c r="K69" s="12"/>
    </row>
    <row r="70" spans="2:13" x14ac:dyDescent="0.25">
      <c r="B70" t="s">
        <v>14</v>
      </c>
      <c r="C70">
        <v>80</v>
      </c>
      <c r="D70">
        <f>(D69-D71)*0.5+D71</f>
        <v>2.5</v>
      </c>
    </row>
    <row r="71" spans="2:13" x14ac:dyDescent="0.25">
      <c r="B71" t="s">
        <v>15</v>
      </c>
      <c r="C71">
        <v>40</v>
      </c>
      <c r="D71">
        <v>2</v>
      </c>
    </row>
    <row r="74" spans="2:13" x14ac:dyDescent="0.25">
      <c r="B74" s="74" t="s">
        <v>218</v>
      </c>
    </row>
    <row r="75" spans="2:13" x14ac:dyDescent="0.25">
      <c r="B75" s="74" t="s">
        <v>243</v>
      </c>
    </row>
    <row r="76" spans="2:13" x14ac:dyDescent="0.25">
      <c r="B76" t="s">
        <v>299</v>
      </c>
    </row>
    <row r="77" spans="2:13" x14ac:dyDescent="0.25">
      <c r="B77" t="s">
        <v>300</v>
      </c>
    </row>
    <row r="78" spans="2:13" x14ac:dyDescent="0.25">
      <c r="B78" t="s">
        <v>301</v>
      </c>
    </row>
    <row r="79" spans="2:13" x14ac:dyDescent="0.25">
      <c r="B79" t="s">
        <v>302</v>
      </c>
    </row>
    <row r="80" spans="2:13" x14ac:dyDescent="0.25">
      <c r="B80" t="s">
        <v>303</v>
      </c>
    </row>
    <row r="81" spans="2:2" x14ac:dyDescent="0.25">
      <c r="B81" t="s">
        <v>304</v>
      </c>
    </row>
    <row r="82" spans="2:2" x14ac:dyDescent="0.25">
      <c r="B82" t="s">
        <v>305</v>
      </c>
    </row>
    <row r="83" spans="2:2" x14ac:dyDescent="0.25">
      <c r="B83" t="s">
        <v>306</v>
      </c>
    </row>
    <row r="85" spans="2:2" x14ac:dyDescent="0.25">
      <c r="B85" s="74" t="s">
        <v>154</v>
      </c>
    </row>
    <row r="86" spans="2:2" x14ac:dyDescent="0.25">
      <c r="B86" t="s">
        <v>307</v>
      </c>
    </row>
    <row r="87" spans="2:2" x14ac:dyDescent="0.25">
      <c r="B87" t="s">
        <v>308</v>
      </c>
    </row>
    <row r="88" spans="2:2" x14ac:dyDescent="0.25">
      <c r="B88" t="s">
        <v>309</v>
      </c>
    </row>
    <row r="89" spans="2:2" x14ac:dyDescent="0.25">
      <c r="B89" t="s">
        <v>310</v>
      </c>
    </row>
    <row r="90" spans="2:2" x14ac:dyDescent="0.25">
      <c r="B90" t="s">
        <v>311</v>
      </c>
    </row>
    <row r="91" spans="2:2" x14ac:dyDescent="0.25">
      <c r="B91" t="s">
        <v>312</v>
      </c>
    </row>
    <row r="92" spans="2:2" x14ac:dyDescent="0.25">
      <c r="B92" t="s">
        <v>305</v>
      </c>
    </row>
    <row r="93" spans="2:2" x14ac:dyDescent="0.25">
      <c r="B93" t="s">
        <v>306</v>
      </c>
    </row>
    <row r="94" spans="2:2" x14ac:dyDescent="0.25">
      <c r="B94" s="77"/>
    </row>
    <row r="95" spans="2:2" x14ac:dyDescent="0.25">
      <c r="B95" s="77"/>
    </row>
  </sheetData>
  <sortState ref="B3:B15">
    <sortCondition ref="B3:B15"/>
  </sortState>
  <mergeCells count="2">
    <mergeCell ref="C1:F1"/>
    <mergeCell ref="G1:H1"/>
  </mergeCells>
  <phoneticPr fontId="8" type="noConversion"/>
  <conditionalFormatting sqref="N3:N32 N34:N63">
    <cfRule type="colorScale" priority="1">
      <colorScale>
        <cfvo type="num" val="0"/>
        <cfvo type="num" val="$D$71"/>
        <cfvo type="num" val="$D$69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D96"/>
  <sheetViews>
    <sheetView zoomScale="115" zoomScaleNormal="115" workbookViewId="0">
      <pane xSplit="2" ySplit="2" topLeftCell="C19" activePane="bottomRight" state="frozen"/>
      <selection pane="topRight" activeCell="C1" sqref="C1"/>
      <selection pane="bottomLeft" activeCell="A3" sqref="A3"/>
      <selection pane="bottomRight" activeCell="S49" sqref="S49"/>
    </sheetView>
  </sheetViews>
  <sheetFormatPr defaultRowHeight="15" x14ac:dyDescent="0.25"/>
  <cols>
    <col min="2" max="2" width="41.7109375" bestFit="1" customWidth="1"/>
    <col min="3" max="3" width="11.42578125" bestFit="1" customWidth="1"/>
    <col min="4" max="4" width="10.42578125" customWidth="1"/>
    <col min="5" max="5" width="11.28515625" bestFit="1" customWidth="1"/>
    <col min="6" max="6" width="10.7109375" bestFit="1" customWidth="1"/>
    <col min="7" max="7" width="8" customWidth="1"/>
    <col min="8" max="8" width="10" customWidth="1"/>
    <col min="9" max="9" width="11.140625" customWidth="1"/>
    <col min="10" max="10" width="9.5703125" bestFit="1" customWidth="1"/>
    <col min="11" max="11" width="10.42578125" customWidth="1"/>
    <col min="12" max="13" width="11.42578125" customWidth="1"/>
    <col min="14" max="14" width="9" customWidth="1"/>
    <col min="15" max="15" width="12.28515625" customWidth="1"/>
    <col min="16" max="16" width="9.5703125" customWidth="1"/>
    <col min="17" max="17" width="8" customWidth="1"/>
    <col min="18" max="18" width="9.85546875" customWidth="1"/>
    <col min="19" max="19" width="10.28515625" customWidth="1"/>
    <col min="20" max="23" width="8" customWidth="1"/>
    <col min="24" max="24" width="10.28515625" bestFit="1" customWidth="1"/>
    <col min="25" max="25" width="10.28515625" customWidth="1"/>
    <col min="26" max="27" width="10.28515625" bestFit="1" customWidth="1"/>
    <col min="28" max="28" width="10.28515625" customWidth="1"/>
    <col min="29" max="29" width="11.85546875" customWidth="1"/>
    <col min="30" max="34" width="10.28515625" bestFit="1" customWidth="1"/>
  </cols>
  <sheetData>
    <row r="1" spans="1:29" x14ac:dyDescent="0.25">
      <c r="B1" t="s">
        <v>181</v>
      </c>
    </row>
    <row r="2" spans="1:29" x14ac:dyDescent="0.25">
      <c r="A2" s="67"/>
      <c r="B2" s="65" t="s">
        <v>20</v>
      </c>
      <c r="C2" s="10" t="s">
        <v>55</v>
      </c>
      <c r="D2" s="10" t="s">
        <v>56</v>
      </c>
      <c r="E2" s="10" t="s">
        <v>57</v>
      </c>
      <c r="F2" s="65" t="s">
        <v>295</v>
      </c>
      <c r="G2" s="65" t="s">
        <v>296</v>
      </c>
      <c r="H2" s="65" t="s">
        <v>297</v>
      </c>
      <c r="I2" s="10" t="s">
        <v>58</v>
      </c>
      <c r="J2" s="10" t="s">
        <v>59</v>
      </c>
      <c r="K2" s="10" t="s">
        <v>60</v>
      </c>
      <c r="L2" s="10" t="s">
        <v>61</v>
      </c>
      <c r="M2" s="10" t="s">
        <v>62</v>
      </c>
      <c r="N2" s="65" t="s">
        <v>510</v>
      </c>
      <c r="O2" s="10" t="s">
        <v>63</v>
      </c>
      <c r="P2" s="10" t="s">
        <v>64</v>
      </c>
      <c r="Q2" s="10" t="s">
        <v>65</v>
      </c>
      <c r="R2" s="65" t="s">
        <v>298</v>
      </c>
      <c r="S2" s="65" t="s">
        <v>396</v>
      </c>
      <c r="T2" s="65" t="s">
        <v>397</v>
      </c>
      <c r="U2" s="65" t="s">
        <v>398</v>
      </c>
      <c r="V2" s="65" t="s">
        <v>399</v>
      </c>
      <c r="W2" s="65" t="s">
        <v>402</v>
      </c>
      <c r="X2" s="65" t="s">
        <v>341</v>
      </c>
      <c r="Y2" s="65" t="s">
        <v>340</v>
      </c>
      <c r="Z2" s="10" t="s">
        <v>0</v>
      </c>
      <c r="AA2" s="10" t="s">
        <v>1</v>
      </c>
      <c r="AB2" s="10" t="s">
        <v>47</v>
      </c>
      <c r="AC2" s="10" t="s">
        <v>12</v>
      </c>
    </row>
    <row r="3" spans="1:29" x14ac:dyDescent="0.25">
      <c r="A3" s="67">
        <v>1</v>
      </c>
      <c r="B3" s="2" t="s">
        <v>466</v>
      </c>
      <c r="C3" s="100"/>
      <c r="D3" s="100">
        <f>40*1*1.1</f>
        <v>44</v>
      </c>
      <c r="E3" s="100"/>
      <c r="F3" s="100"/>
      <c r="G3" s="100"/>
      <c r="H3" s="100"/>
      <c r="I3" s="29"/>
      <c r="J3" s="29"/>
      <c r="K3" s="29"/>
      <c r="L3" s="31"/>
      <c r="M3" s="31">
        <f>50*1*0.9</f>
        <v>45</v>
      </c>
      <c r="N3" s="31"/>
      <c r="O3" s="30"/>
      <c r="P3" s="30">
        <f>80*1*0.7</f>
        <v>56</v>
      </c>
      <c r="Q3" s="114"/>
      <c r="R3" s="114"/>
      <c r="S3" s="114"/>
      <c r="T3" s="30"/>
      <c r="U3" s="30"/>
      <c r="V3" s="30"/>
      <c r="W3" s="30"/>
      <c r="X3" s="124"/>
      <c r="Y3" s="124"/>
      <c r="Z3" s="124">
        <f t="shared" ref="Z3:Z32" si="0">SUM(C3:Y3)</f>
        <v>145</v>
      </c>
      <c r="AA3" s="124"/>
      <c r="AB3" s="28"/>
      <c r="AC3" s="7">
        <f t="shared" ref="AC3:AC32" si="1">NormalizeResult($C$71,$D$71,$C$70,$D$70,$C$69,$D$69,Z3)+AA3+IF(AB3&gt;$AB$64,AB3*$AB$65,0)</f>
        <v>6.6710526315789478</v>
      </c>
    </row>
    <row r="4" spans="1:29" x14ac:dyDescent="0.25">
      <c r="A4" s="67">
        <v>2</v>
      </c>
      <c r="B4" s="2" t="s">
        <v>478</v>
      </c>
      <c r="C4" s="100"/>
      <c r="D4" s="100"/>
      <c r="E4" s="100"/>
      <c r="F4" s="100">
        <f>80*(0.6*0.6+0.15*0.6)</f>
        <v>36</v>
      </c>
      <c r="G4" s="100"/>
      <c r="H4" s="100"/>
      <c r="I4" s="29"/>
      <c r="J4" s="29"/>
      <c r="K4" s="29"/>
      <c r="L4" s="31"/>
      <c r="M4" s="31"/>
      <c r="N4" s="31">
        <f>100*1*0.6</f>
        <v>60</v>
      </c>
      <c r="O4" s="30"/>
      <c r="P4" s="30"/>
      <c r="Q4" s="114"/>
      <c r="R4" s="114"/>
      <c r="S4" s="114"/>
      <c r="T4" s="30"/>
      <c r="U4" s="30"/>
      <c r="V4" s="30"/>
      <c r="W4" s="30"/>
      <c r="X4" s="124"/>
      <c r="Y4" s="124"/>
      <c r="Z4" s="124">
        <f t="shared" si="0"/>
        <v>96</v>
      </c>
      <c r="AA4" s="124"/>
      <c r="AB4" s="28"/>
      <c r="AC4" s="7">
        <f t="shared" si="1"/>
        <v>6.2842105263157899</v>
      </c>
    </row>
    <row r="5" spans="1:29" x14ac:dyDescent="0.25">
      <c r="A5" s="67">
        <v>3</v>
      </c>
      <c r="B5" t="s">
        <v>449</v>
      </c>
      <c r="C5" s="100"/>
      <c r="D5" s="100"/>
      <c r="E5" s="100">
        <f>50*1*1.1</f>
        <v>55.000000000000007</v>
      </c>
      <c r="F5" s="100"/>
      <c r="G5" s="100"/>
      <c r="H5" s="100"/>
      <c r="I5" s="29"/>
      <c r="J5" s="29"/>
      <c r="K5" s="29"/>
      <c r="L5" s="31"/>
      <c r="M5" s="31">
        <f>50*1*1.1</f>
        <v>55.000000000000007</v>
      </c>
      <c r="N5" s="31"/>
      <c r="O5" s="30">
        <f>40*0.65*0.7</f>
        <v>18.2</v>
      </c>
      <c r="P5" s="30"/>
      <c r="Q5" s="114"/>
      <c r="R5" s="114"/>
      <c r="S5" s="114"/>
      <c r="T5" s="30"/>
      <c r="U5" s="30"/>
      <c r="V5" s="30"/>
      <c r="W5" s="30"/>
      <c r="X5" s="3"/>
      <c r="Y5" s="3"/>
      <c r="Z5" s="3">
        <f>SUM(C5:Y5)</f>
        <v>128.20000000000002</v>
      </c>
      <c r="AA5" s="3"/>
      <c r="AB5" s="28"/>
      <c r="AC5" s="7">
        <f t="shared" si="1"/>
        <v>6.5384210526315787</v>
      </c>
    </row>
    <row r="6" spans="1:29" x14ac:dyDescent="0.25">
      <c r="A6" s="67">
        <v>4</v>
      </c>
      <c r="B6" s="2" t="s">
        <v>479</v>
      </c>
      <c r="C6" s="100"/>
      <c r="D6" s="100"/>
      <c r="E6" s="100"/>
      <c r="F6" s="100"/>
      <c r="G6" s="100"/>
      <c r="H6" s="100"/>
      <c r="I6" s="29"/>
      <c r="J6" s="29"/>
      <c r="K6" s="29"/>
      <c r="L6" s="31"/>
      <c r="M6" s="31"/>
      <c r="N6" s="31">
        <f>100*1*1.1</f>
        <v>110.00000000000001</v>
      </c>
      <c r="O6" s="30"/>
      <c r="P6" s="30"/>
      <c r="Q6" s="114"/>
      <c r="R6" s="114"/>
      <c r="S6" s="114"/>
      <c r="T6" s="30"/>
      <c r="U6" s="30"/>
      <c r="V6" s="30"/>
      <c r="W6" s="30"/>
      <c r="X6" s="124"/>
      <c r="Y6" s="124"/>
      <c r="Z6" s="124">
        <f t="shared" si="0"/>
        <v>110.00000000000001</v>
      </c>
      <c r="AA6" s="124"/>
      <c r="AB6" s="28"/>
      <c r="AC6" s="7">
        <f t="shared" si="1"/>
        <v>6.3947368421052628</v>
      </c>
    </row>
    <row r="7" spans="1:29" x14ac:dyDescent="0.25">
      <c r="A7" s="67">
        <v>5</v>
      </c>
      <c r="B7" s="2" t="s">
        <v>480</v>
      </c>
      <c r="C7" s="100"/>
      <c r="D7" s="100"/>
      <c r="E7" s="100">
        <f>50*1*1.1</f>
        <v>55.000000000000007</v>
      </c>
      <c r="F7" s="100"/>
      <c r="G7" s="100"/>
      <c r="H7" s="100"/>
      <c r="I7" s="29"/>
      <c r="J7" s="29"/>
      <c r="K7" s="29"/>
      <c r="L7" s="31"/>
      <c r="M7" s="31">
        <f>50*1*0.6</f>
        <v>30</v>
      </c>
      <c r="N7" s="31"/>
      <c r="O7" s="30"/>
      <c r="P7" s="30"/>
      <c r="Q7" s="114"/>
      <c r="R7" s="114"/>
      <c r="S7" s="114"/>
      <c r="T7" s="30"/>
      <c r="U7" s="30"/>
      <c r="V7" s="30"/>
      <c r="W7" s="30"/>
      <c r="X7" s="124"/>
      <c r="Y7" s="124"/>
      <c r="Z7" s="124">
        <f t="shared" si="0"/>
        <v>85</v>
      </c>
      <c r="AA7" s="124"/>
      <c r="AB7" s="28"/>
      <c r="AC7" s="7">
        <f t="shared" si="1"/>
        <v>6.1973684210526319</v>
      </c>
    </row>
    <row r="8" spans="1:29" x14ac:dyDescent="0.25">
      <c r="A8" s="67">
        <v>6</v>
      </c>
      <c r="B8" s="2" t="s">
        <v>483</v>
      </c>
      <c r="C8" s="100"/>
      <c r="D8" s="100"/>
      <c r="E8" s="100">
        <f>50*1*1.1</f>
        <v>55.000000000000007</v>
      </c>
      <c r="F8" s="100"/>
      <c r="G8" s="100"/>
      <c r="H8" s="100"/>
      <c r="I8" s="29"/>
      <c r="J8" s="29"/>
      <c r="K8" s="29"/>
      <c r="L8" s="31"/>
      <c r="M8" s="31">
        <f>50*(0.3*0.9+0.7*0.7)</f>
        <v>38</v>
      </c>
      <c r="N8" s="31"/>
      <c r="O8" s="30">
        <f>40*1*0.7</f>
        <v>28</v>
      </c>
      <c r="P8" s="30"/>
      <c r="Q8" s="114"/>
      <c r="R8" s="114"/>
      <c r="S8" s="114"/>
      <c r="T8" s="30"/>
      <c r="U8" s="30"/>
      <c r="V8" s="30"/>
      <c r="W8" s="30"/>
      <c r="X8" s="124"/>
      <c r="Y8" s="124"/>
      <c r="Z8" s="124">
        <f>SUM(C8:Y8)</f>
        <v>121</v>
      </c>
      <c r="AA8" s="124"/>
      <c r="AB8" s="28"/>
      <c r="AC8" s="7">
        <f t="shared" si="1"/>
        <v>6.4815789473684209</v>
      </c>
    </row>
    <row r="9" spans="1:29" x14ac:dyDescent="0.25">
      <c r="A9" s="67">
        <v>7</v>
      </c>
      <c r="B9" s="2" t="s">
        <v>481</v>
      </c>
      <c r="C9" s="100"/>
      <c r="D9" s="100"/>
      <c r="E9" s="100">
        <f>50*1*1.1</f>
        <v>55.000000000000007</v>
      </c>
      <c r="F9" s="100"/>
      <c r="G9" s="100"/>
      <c r="H9" s="100"/>
      <c r="I9" s="29"/>
      <c r="J9" s="29"/>
      <c r="K9" s="29"/>
      <c r="L9" s="31"/>
      <c r="M9" s="31">
        <f>50*1*1.1</f>
        <v>55.000000000000007</v>
      </c>
      <c r="N9" s="31"/>
      <c r="O9" s="30"/>
      <c r="P9" s="30">
        <f>80*(0.5*1.1+0.2*0.9 + 0.3*0.7)</f>
        <v>75.2</v>
      </c>
      <c r="Q9" s="114">
        <f>100*1*0.6</f>
        <v>60</v>
      </c>
      <c r="R9" s="114"/>
      <c r="S9" s="114"/>
      <c r="T9" s="30"/>
      <c r="U9" s="30">
        <f>180*1*0.6</f>
        <v>108</v>
      </c>
      <c r="V9" s="30"/>
      <c r="W9" s="30"/>
      <c r="X9" s="124"/>
      <c r="Y9" s="124"/>
      <c r="Z9" s="124">
        <f t="shared" si="0"/>
        <v>353.20000000000005</v>
      </c>
      <c r="AA9" s="124"/>
      <c r="AB9" s="28"/>
      <c r="AC9" s="7">
        <f t="shared" si="1"/>
        <v>8.1192000000000011</v>
      </c>
    </row>
    <row r="10" spans="1:29" x14ac:dyDescent="0.25">
      <c r="A10" s="67">
        <v>8</v>
      </c>
      <c r="B10" s="2" t="s">
        <v>482</v>
      </c>
      <c r="C10" s="100"/>
      <c r="D10" s="100"/>
      <c r="E10" s="100"/>
      <c r="F10" s="100">
        <f>80*(0.2*1.1+0.8*0.6)</f>
        <v>56</v>
      </c>
      <c r="G10" s="100"/>
      <c r="H10" s="100"/>
      <c r="I10" s="29"/>
      <c r="J10" s="29"/>
      <c r="K10" s="29"/>
      <c r="L10" s="31"/>
      <c r="M10" s="31"/>
      <c r="N10" s="31"/>
      <c r="O10" s="30"/>
      <c r="P10" s="30"/>
      <c r="Q10" s="114"/>
      <c r="R10" s="114"/>
      <c r="S10" s="114"/>
      <c r="T10" s="30"/>
      <c r="U10" s="30"/>
      <c r="V10" s="30"/>
      <c r="W10" s="30"/>
      <c r="X10" s="124"/>
      <c r="Y10" s="124"/>
      <c r="Z10" s="124">
        <f t="shared" si="0"/>
        <v>56</v>
      </c>
      <c r="AA10" s="124"/>
      <c r="AB10" s="28"/>
      <c r="AC10" s="7">
        <f t="shared" si="1"/>
        <v>5.6</v>
      </c>
    </row>
    <row r="11" spans="1:29" x14ac:dyDescent="0.25">
      <c r="A11" s="67">
        <v>9</v>
      </c>
      <c r="B11" s="2" t="s">
        <v>484</v>
      </c>
      <c r="C11" s="100"/>
      <c r="D11" s="100"/>
      <c r="E11" s="100"/>
      <c r="F11" s="100">
        <f>80*1*1.1</f>
        <v>88</v>
      </c>
      <c r="G11" s="100"/>
      <c r="H11" s="100"/>
      <c r="I11" s="29"/>
      <c r="J11" s="29"/>
      <c r="K11" s="29"/>
      <c r="L11" s="31"/>
      <c r="M11" s="31"/>
      <c r="N11" s="31">
        <f>100*1*1.1</f>
        <v>110.00000000000001</v>
      </c>
      <c r="O11" s="30"/>
      <c r="P11" s="30">
        <f>80*1*1.1</f>
        <v>88</v>
      </c>
      <c r="Q11" s="114">
        <f>100*(0.6)*1.1</f>
        <v>66</v>
      </c>
      <c r="R11" s="114"/>
      <c r="S11" s="114"/>
      <c r="T11" s="30"/>
      <c r="U11" s="30">
        <f>180*0.9*1.1</f>
        <v>178.20000000000002</v>
      </c>
      <c r="V11" s="30"/>
      <c r="W11" s="30"/>
      <c r="X11" s="3"/>
      <c r="Y11" s="3"/>
      <c r="Z11" s="124">
        <f t="shared" si="0"/>
        <v>530.20000000000005</v>
      </c>
      <c r="AA11" s="124"/>
      <c r="AB11" s="28"/>
      <c r="AC11" s="7">
        <f t="shared" si="1"/>
        <v>9.1812000000000005</v>
      </c>
    </row>
    <row r="12" spans="1:29" x14ac:dyDescent="0.25">
      <c r="A12" s="67">
        <v>10</v>
      </c>
      <c r="B12" s="2" t="s">
        <v>485</v>
      </c>
      <c r="C12" s="100"/>
      <c r="D12" s="100"/>
      <c r="E12" s="100">
        <f>50*1*1.1</f>
        <v>55.000000000000007</v>
      </c>
      <c r="F12" s="100"/>
      <c r="G12" s="100"/>
      <c r="H12" s="100"/>
      <c r="I12" s="29"/>
      <c r="J12" s="29"/>
      <c r="K12" s="29"/>
      <c r="L12" s="31"/>
      <c r="M12" s="31">
        <f>50*0.7*1.1</f>
        <v>38.5</v>
      </c>
      <c r="N12" s="31"/>
      <c r="O12" s="30"/>
      <c r="P12" s="30">
        <f>80*1*1.1</f>
        <v>88</v>
      </c>
      <c r="Q12" s="114"/>
      <c r="R12" s="114"/>
      <c r="S12" s="114"/>
      <c r="T12" s="30"/>
      <c r="U12" s="30"/>
      <c r="V12" s="30"/>
      <c r="W12" s="30"/>
      <c r="X12" s="3"/>
      <c r="Y12" s="3"/>
      <c r="Z12" s="124">
        <f t="shared" si="0"/>
        <v>181.5</v>
      </c>
      <c r="AA12" s="124"/>
      <c r="AB12" s="28"/>
      <c r="AC12" s="7">
        <f t="shared" si="1"/>
        <v>6.9592105263157897</v>
      </c>
    </row>
    <row r="13" spans="1:29" x14ac:dyDescent="0.25">
      <c r="A13" s="67">
        <v>11</v>
      </c>
      <c r="B13" s="2" t="s">
        <v>486</v>
      </c>
      <c r="C13" s="100"/>
      <c r="D13" s="100"/>
      <c r="E13" s="100"/>
      <c r="F13" s="100">
        <f>80*(0.7*1.1+0.2*0.9)</f>
        <v>76</v>
      </c>
      <c r="G13" s="100"/>
      <c r="H13" s="100"/>
      <c r="I13" s="29"/>
      <c r="J13" s="29">
        <f>30*0.75*1.1</f>
        <v>24.750000000000004</v>
      </c>
      <c r="K13" s="29"/>
      <c r="L13" s="31"/>
      <c r="M13" s="31"/>
      <c r="N13" s="31"/>
      <c r="O13" s="30"/>
      <c r="P13" s="30">
        <f>80*(0.7*1.1+0.2*0.7)</f>
        <v>72.8</v>
      </c>
      <c r="Q13" s="114"/>
      <c r="R13" s="114">
        <f>60*0.7*1</f>
        <v>42</v>
      </c>
      <c r="S13" s="114"/>
      <c r="T13" s="30"/>
      <c r="U13" s="30">
        <f>180*0.5*0.9</f>
        <v>81</v>
      </c>
      <c r="V13" s="30"/>
      <c r="W13" s="30"/>
      <c r="X13" s="3"/>
      <c r="Y13" s="3"/>
      <c r="Z13" s="124">
        <f t="shared" si="0"/>
        <v>296.55</v>
      </c>
      <c r="AA13" s="124"/>
      <c r="AB13" s="28"/>
      <c r="AC13" s="7">
        <f t="shared" si="1"/>
        <v>7.7793000000000001</v>
      </c>
    </row>
    <row r="14" spans="1:29" x14ac:dyDescent="0.25">
      <c r="A14" s="67">
        <v>12</v>
      </c>
      <c r="B14" s="2" t="s">
        <v>487</v>
      </c>
      <c r="C14" s="100"/>
      <c r="D14" s="100"/>
      <c r="E14" s="100"/>
      <c r="F14" s="100"/>
      <c r="G14" s="100"/>
      <c r="H14" s="100"/>
      <c r="I14" s="29"/>
      <c r="J14" s="29"/>
      <c r="K14" s="29"/>
      <c r="L14" s="31"/>
      <c r="M14" s="31"/>
      <c r="N14" s="31"/>
      <c r="O14" s="30"/>
      <c r="P14" s="30"/>
      <c r="Q14" s="114"/>
      <c r="R14" s="114"/>
      <c r="S14" s="114"/>
      <c r="T14" s="30"/>
      <c r="U14" s="30"/>
      <c r="V14" s="30"/>
      <c r="W14" s="30"/>
      <c r="X14" s="3"/>
      <c r="Y14" s="3"/>
      <c r="Z14" s="124">
        <f t="shared" si="0"/>
        <v>0</v>
      </c>
      <c r="AA14" s="124"/>
      <c r="AB14" s="28"/>
      <c r="AC14" s="7">
        <f t="shared" si="1"/>
        <v>0</v>
      </c>
    </row>
    <row r="15" spans="1:29" x14ac:dyDescent="0.25">
      <c r="A15" s="67">
        <v>13</v>
      </c>
      <c r="B15" s="2" t="s">
        <v>488</v>
      </c>
      <c r="C15" s="100"/>
      <c r="D15" s="100"/>
      <c r="E15" s="100"/>
      <c r="F15" s="100">
        <f>80*(0.8*1.1+0.2*0.9)</f>
        <v>84.800000000000011</v>
      </c>
      <c r="G15" s="100"/>
      <c r="H15" s="100"/>
      <c r="I15" s="29"/>
      <c r="J15" s="29"/>
      <c r="K15" s="29"/>
      <c r="L15" s="31"/>
      <c r="M15" s="31">
        <f>50*1*0.9</f>
        <v>45</v>
      </c>
      <c r="N15" s="31"/>
      <c r="O15" s="30"/>
      <c r="P15" s="30">
        <f>80*1*1.1</f>
        <v>88</v>
      </c>
      <c r="Q15" s="114"/>
      <c r="R15" s="114"/>
      <c r="S15" s="114">
        <f>120*1*1.1</f>
        <v>132</v>
      </c>
      <c r="T15" s="30"/>
      <c r="U15" s="30"/>
      <c r="V15" s="30"/>
      <c r="W15" s="30"/>
      <c r="X15" s="3"/>
      <c r="Y15" s="3"/>
      <c r="Z15" s="124">
        <f t="shared" si="0"/>
        <v>349.8</v>
      </c>
      <c r="AA15" s="124"/>
      <c r="AB15" s="28"/>
      <c r="AC15" s="7">
        <f t="shared" si="1"/>
        <v>8.0988000000000007</v>
      </c>
    </row>
    <row r="16" spans="1:29" x14ac:dyDescent="0.25">
      <c r="A16" s="67">
        <v>14</v>
      </c>
      <c r="B16" s="2" t="s">
        <v>473</v>
      </c>
      <c r="C16" s="100"/>
      <c r="D16" s="100"/>
      <c r="E16" s="100"/>
      <c r="F16" s="100">
        <f>80*1*1.1</f>
        <v>88</v>
      </c>
      <c r="G16" s="100"/>
      <c r="H16" s="100"/>
      <c r="I16" s="29"/>
      <c r="J16" s="29"/>
      <c r="K16" s="29"/>
      <c r="L16" s="31"/>
      <c r="M16" s="31"/>
      <c r="N16" s="31">
        <f>100*1*0.9</f>
        <v>90</v>
      </c>
      <c r="O16" s="30"/>
      <c r="P16" s="30">
        <f>80*1*0.7</f>
        <v>56</v>
      </c>
      <c r="Q16" s="114"/>
      <c r="R16" s="114"/>
      <c r="S16" s="114"/>
      <c r="T16" s="30"/>
      <c r="U16" s="30"/>
      <c r="V16" s="30"/>
      <c r="W16" s="30"/>
      <c r="X16" s="3"/>
      <c r="Y16" s="3"/>
      <c r="Z16" s="124">
        <f t="shared" si="0"/>
        <v>234</v>
      </c>
      <c r="AA16" s="124"/>
      <c r="AB16" s="28"/>
      <c r="AC16" s="7">
        <f t="shared" si="1"/>
        <v>7.3736842105263154</v>
      </c>
    </row>
    <row r="17" spans="1:30" x14ac:dyDescent="0.25">
      <c r="A17" s="67">
        <v>15</v>
      </c>
      <c r="B17" s="2" t="s">
        <v>474</v>
      </c>
      <c r="C17" s="100"/>
      <c r="D17" s="100"/>
      <c r="E17" s="100"/>
      <c r="F17" s="100">
        <f>80*1*0.6</f>
        <v>48</v>
      </c>
      <c r="G17" s="100"/>
      <c r="H17" s="100"/>
      <c r="I17" s="29"/>
      <c r="J17" s="29"/>
      <c r="K17" s="29"/>
      <c r="L17" s="31"/>
      <c r="M17" s="31"/>
      <c r="N17" s="31"/>
      <c r="O17" s="30"/>
      <c r="P17" s="30"/>
      <c r="Q17" s="114"/>
      <c r="R17" s="114"/>
      <c r="S17" s="114"/>
      <c r="T17" s="30"/>
      <c r="U17" s="30"/>
      <c r="V17" s="30"/>
      <c r="W17" s="30"/>
      <c r="X17" s="3"/>
      <c r="Y17" s="3"/>
      <c r="Z17" s="124">
        <f t="shared" si="0"/>
        <v>48</v>
      </c>
      <c r="AA17" s="124"/>
      <c r="AB17" s="28"/>
      <c r="AC17" s="7">
        <f t="shared" si="1"/>
        <v>4.8</v>
      </c>
      <c r="AD17" s="38"/>
    </row>
    <row r="18" spans="1:30" x14ac:dyDescent="0.25">
      <c r="A18" s="67">
        <v>16</v>
      </c>
      <c r="B18" s="2" t="s">
        <v>489</v>
      </c>
      <c r="C18" s="100"/>
      <c r="D18" s="100"/>
      <c r="E18" s="100">
        <f>50*1*1.1</f>
        <v>55.000000000000007</v>
      </c>
      <c r="F18" s="100"/>
      <c r="G18" s="100"/>
      <c r="H18" s="100"/>
      <c r="I18" s="29"/>
      <c r="J18" s="29"/>
      <c r="K18" s="29"/>
      <c r="L18" s="31"/>
      <c r="M18" s="31">
        <f>50*1*1.1</f>
        <v>55.000000000000007</v>
      </c>
      <c r="N18" s="31"/>
      <c r="O18" s="30"/>
      <c r="P18" s="30">
        <f>80*1*1.1</f>
        <v>88</v>
      </c>
      <c r="Q18" s="114"/>
      <c r="R18" s="114"/>
      <c r="S18" s="114">
        <f>120*0.8*1.1</f>
        <v>105.60000000000001</v>
      </c>
      <c r="T18" s="30"/>
      <c r="U18" s="30"/>
      <c r="V18" s="30"/>
      <c r="W18" s="30"/>
      <c r="X18" s="3"/>
      <c r="Y18" s="3"/>
      <c r="Z18" s="124">
        <f t="shared" si="0"/>
        <v>303.60000000000002</v>
      </c>
      <c r="AA18" s="124"/>
      <c r="AB18" s="28"/>
      <c r="AC18" s="7">
        <f t="shared" si="1"/>
        <v>7.8216000000000001</v>
      </c>
    </row>
    <row r="19" spans="1:30" x14ac:dyDescent="0.25">
      <c r="A19" s="67">
        <v>17</v>
      </c>
      <c r="B19" s="2" t="s">
        <v>475</v>
      </c>
      <c r="C19" s="100"/>
      <c r="D19" s="100"/>
      <c r="E19" s="100"/>
      <c r="F19" s="100"/>
      <c r="G19" s="100"/>
      <c r="H19" s="100"/>
      <c r="I19" s="29"/>
      <c r="J19" s="29"/>
      <c r="K19" s="29"/>
      <c r="L19" s="31"/>
      <c r="M19" s="31"/>
      <c r="N19" s="31"/>
      <c r="O19" s="30"/>
      <c r="P19" s="30"/>
      <c r="Q19" s="114"/>
      <c r="R19" s="114"/>
      <c r="S19" s="114"/>
      <c r="T19" s="30"/>
      <c r="U19" s="30"/>
      <c r="V19" s="30"/>
      <c r="W19" s="30"/>
      <c r="X19" s="3"/>
      <c r="Y19" s="3"/>
      <c r="Z19" s="124">
        <f t="shared" si="0"/>
        <v>0</v>
      </c>
      <c r="AA19" s="124"/>
      <c r="AB19" s="28"/>
      <c r="AC19" s="7">
        <f t="shared" si="1"/>
        <v>0</v>
      </c>
    </row>
    <row r="20" spans="1:30" x14ac:dyDescent="0.25">
      <c r="A20" s="67">
        <v>18</v>
      </c>
      <c r="B20" s="2" t="s">
        <v>490</v>
      </c>
      <c r="C20" s="100"/>
      <c r="D20" s="100"/>
      <c r="E20" s="100"/>
      <c r="F20" s="100">
        <f>80*1*0.6</f>
        <v>48</v>
      </c>
      <c r="G20" s="100"/>
      <c r="H20" s="100"/>
      <c r="I20" s="29"/>
      <c r="J20" s="29"/>
      <c r="K20" s="29"/>
      <c r="L20" s="31"/>
      <c r="M20" s="31"/>
      <c r="N20" s="31"/>
      <c r="O20" s="30"/>
      <c r="P20" s="30"/>
      <c r="Q20" s="114"/>
      <c r="R20" s="114"/>
      <c r="S20" s="114"/>
      <c r="T20" s="30"/>
      <c r="U20" s="30"/>
      <c r="V20" s="30"/>
      <c r="W20" s="30"/>
      <c r="X20" s="3"/>
      <c r="Y20" s="3"/>
      <c r="Z20" s="124">
        <f t="shared" si="0"/>
        <v>48</v>
      </c>
      <c r="AA20" s="124"/>
      <c r="AB20" s="28"/>
      <c r="AC20" s="7">
        <f t="shared" si="1"/>
        <v>4.8</v>
      </c>
    </row>
    <row r="21" spans="1:30" x14ac:dyDescent="0.25">
      <c r="A21" s="67">
        <v>19</v>
      </c>
      <c r="B21" s="2" t="s">
        <v>491</v>
      </c>
      <c r="C21" s="100"/>
      <c r="D21" s="100"/>
      <c r="E21" s="100">
        <f>50*1*0.6</f>
        <v>30</v>
      </c>
      <c r="F21" s="100"/>
      <c r="G21" s="100"/>
      <c r="H21" s="100"/>
      <c r="I21" s="29"/>
      <c r="J21" s="29"/>
      <c r="K21" s="29"/>
      <c r="L21" s="31"/>
      <c r="M21" s="31"/>
      <c r="N21" s="31"/>
      <c r="O21" s="30"/>
      <c r="P21" s="30"/>
      <c r="Q21" s="114"/>
      <c r="R21" s="114"/>
      <c r="S21" s="114"/>
      <c r="T21" s="30"/>
      <c r="U21" s="30"/>
      <c r="V21" s="30"/>
      <c r="W21" s="30"/>
      <c r="X21" s="3"/>
      <c r="Y21" s="3"/>
      <c r="Z21" s="124">
        <f t="shared" si="0"/>
        <v>30</v>
      </c>
      <c r="AA21" s="124"/>
      <c r="AB21" s="28"/>
      <c r="AC21" s="7">
        <f t="shared" si="1"/>
        <v>3</v>
      </c>
    </row>
    <row r="22" spans="1:30" x14ac:dyDescent="0.25">
      <c r="A22" s="67">
        <v>20</v>
      </c>
      <c r="B22" s="2" t="s">
        <v>477</v>
      </c>
      <c r="C22" s="100"/>
      <c r="D22" s="100"/>
      <c r="E22" s="100"/>
      <c r="F22" s="100"/>
      <c r="G22" s="100"/>
      <c r="H22" s="100"/>
      <c r="I22" s="29"/>
      <c r="J22" s="29"/>
      <c r="K22" s="29"/>
      <c r="L22" s="31"/>
      <c r="M22" s="31"/>
      <c r="N22" s="31"/>
      <c r="O22" s="30"/>
      <c r="P22" s="30"/>
      <c r="Q22" s="114"/>
      <c r="R22" s="114"/>
      <c r="S22" s="114"/>
      <c r="T22" s="30"/>
      <c r="U22" s="30"/>
      <c r="V22" s="30"/>
      <c r="W22" s="30"/>
      <c r="X22" s="3"/>
      <c r="Y22" s="3"/>
      <c r="Z22" s="124">
        <f t="shared" si="0"/>
        <v>0</v>
      </c>
      <c r="AA22" s="124"/>
      <c r="AB22" s="28"/>
      <c r="AC22" s="7">
        <f t="shared" si="1"/>
        <v>0</v>
      </c>
    </row>
    <row r="23" spans="1:30" x14ac:dyDescent="0.25">
      <c r="A23" s="67">
        <v>21</v>
      </c>
      <c r="B23" s="2" t="s">
        <v>492</v>
      </c>
      <c r="C23" s="100"/>
      <c r="D23" s="100"/>
      <c r="E23" s="100"/>
      <c r="F23" s="100">
        <f>80*1*1.1</f>
        <v>88</v>
      </c>
      <c r="G23" s="100"/>
      <c r="H23" s="100"/>
      <c r="I23" s="29"/>
      <c r="J23" s="29"/>
      <c r="K23" s="29"/>
      <c r="L23" s="31"/>
      <c r="M23" s="31"/>
      <c r="N23" s="31"/>
      <c r="O23" s="30"/>
      <c r="P23" s="30">
        <f>80*(1*0.9)</f>
        <v>72</v>
      </c>
      <c r="Q23" s="114"/>
      <c r="R23" s="114"/>
      <c r="S23" s="114"/>
      <c r="T23" s="30"/>
      <c r="U23" s="30"/>
      <c r="V23" s="30"/>
      <c r="W23" s="30"/>
      <c r="X23" s="3"/>
      <c r="Y23" s="3"/>
      <c r="Z23" s="124">
        <f t="shared" si="0"/>
        <v>160</v>
      </c>
      <c r="AA23" s="124"/>
      <c r="AB23" s="28"/>
      <c r="AC23" s="7">
        <f t="shared" si="1"/>
        <v>6.7894736842105265</v>
      </c>
    </row>
    <row r="24" spans="1:30" x14ac:dyDescent="0.25">
      <c r="A24" s="67">
        <v>22</v>
      </c>
      <c r="B24" s="2" t="s">
        <v>493</v>
      </c>
      <c r="C24" s="100"/>
      <c r="D24" s="100"/>
      <c r="E24" s="100">
        <f>50*1*1.1</f>
        <v>55.000000000000007</v>
      </c>
      <c r="F24" s="100">
        <f>80*0.49*1</f>
        <v>39.200000000000003</v>
      </c>
      <c r="G24" s="100"/>
      <c r="H24" s="100"/>
      <c r="I24" s="29"/>
      <c r="J24" s="29"/>
      <c r="K24" s="29"/>
      <c r="L24" s="31"/>
      <c r="M24" s="31">
        <f>50*1*1.1</f>
        <v>55.000000000000007</v>
      </c>
      <c r="N24" s="31"/>
      <c r="O24" s="30"/>
      <c r="P24" s="30">
        <f>80*1*0.9</f>
        <v>72</v>
      </c>
      <c r="Q24" s="114"/>
      <c r="R24" s="114"/>
      <c r="S24" s="114"/>
      <c r="T24" s="30"/>
      <c r="U24" s="30"/>
      <c r="V24" s="30"/>
      <c r="W24" s="30"/>
      <c r="X24" s="3"/>
      <c r="Y24" s="3"/>
      <c r="Z24" s="124">
        <f t="shared" si="0"/>
        <v>221.20000000000002</v>
      </c>
      <c r="AA24" s="124"/>
      <c r="AB24" s="28"/>
      <c r="AC24" s="7">
        <f t="shared" si="1"/>
        <v>7.2726315789473688</v>
      </c>
    </row>
    <row r="25" spans="1:30" x14ac:dyDescent="0.25">
      <c r="A25" s="67">
        <v>23</v>
      </c>
      <c r="B25" s="2" t="s">
        <v>494</v>
      </c>
      <c r="C25" s="100"/>
      <c r="D25" s="100"/>
      <c r="E25" s="100">
        <f>50*0.5*1.1</f>
        <v>27.500000000000004</v>
      </c>
      <c r="F25" s="100"/>
      <c r="G25" s="100"/>
      <c r="H25" s="100"/>
      <c r="I25" s="29"/>
      <c r="J25" s="29"/>
      <c r="K25" s="29"/>
      <c r="L25" s="31"/>
      <c r="M25" s="31"/>
      <c r="N25" s="31"/>
      <c r="O25" s="30"/>
      <c r="P25" s="30">
        <f>80*1*0.6</f>
        <v>48</v>
      </c>
      <c r="Q25" s="114"/>
      <c r="R25" s="114"/>
      <c r="S25" s="114"/>
      <c r="T25" s="30"/>
      <c r="U25" s="30"/>
      <c r="V25" s="30"/>
      <c r="W25" s="30"/>
      <c r="X25" s="3"/>
      <c r="Y25" s="3"/>
      <c r="Z25" s="124">
        <f t="shared" si="0"/>
        <v>75.5</v>
      </c>
      <c r="AA25" s="124"/>
      <c r="AB25" s="28"/>
      <c r="AC25" s="7">
        <f t="shared" si="1"/>
        <v>6.1223684210526317</v>
      </c>
    </row>
    <row r="26" spans="1:30" x14ac:dyDescent="0.25">
      <c r="A26" s="67">
        <v>24</v>
      </c>
      <c r="B26" s="2" t="s">
        <v>476</v>
      </c>
      <c r="C26" s="100"/>
      <c r="D26" s="100"/>
      <c r="E26" s="100"/>
      <c r="F26" s="100"/>
      <c r="G26" s="100"/>
      <c r="H26" s="100"/>
      <c r="I26" s="29"/>
      <c r="J26" s="29"/>
      <c r="K26" s="29"/>
      <c r="L26" s="31"/>
      <c r="M26" s="31"/>
      <c r="N26" s="31"/>
      <c r="O26" s="30"/>
      <c r="P26" s="30"/>
      <c r="Q26" s="114"/>
      <c r="R26" s="114"/>
      <c r="S26" s="114"/>
      <c r="T26" s="30"/>
      <c r="U26" s="30"/>
      <c r="V26" s="30"/>
      <c r="W26" s="30"/>
      <c r="X26" s="3"/>
      <c r="Y26" s="3"/>
      <c r="Z26" s="124">
        <f t="shared" si="0"/>
        <v>0</v>
      </c>
      <c r="AA26" s="124"/>
      <c r="AB26" s="28"/>
      <c r="AC26" s="7">
        <f t="shared" si="1"/>
        <v>0</v>
      </c>
    </row>
    <row r="27" spans="1:30" x14ac:dyDescent="0.25">
      <c r="A27" s="67">
        <v>25</v>
      </c>
      <c r="B27" s="2" t="s">
        <v>495</v>
      </c>
      <c r="C27" s="100"/>
      <c r="D27" s="100"/>
      <c r="E27" s="100"/>
      <c r="F27" s="100">
        <f>80*1*1.1</f>
        <v>88</v>
      </c>
      <c r="G27" s="100"/>
      <c r="H27" s="100"/>
      <c r="I27" s="29"/>
      <c r="J27" s="29"/>
      <c r="K27" s="29"/>
      <c r="L27" s="31"/>
      <c r="M27" s="31"/>
      <c r="N27" s="31">
        <f>100*(0.3*1.1 + 0.2*0.9)</f>
        <v>51</v>
      </c>
      <c r="O27" s="30"/>
      <c r="P27" s="30">
        <f>80*0.6*0.7</f>
        <v>33.599999999999994</v>
      </c>
      <c r="Q27" s="114"/>
      <c r="R27" s="114"/>
      <c r="S27" s="114"/>
      <c r="T27" s="30"/>
      <c r="U27" s="30"/>
      <c r="V27" s="30"/>
      <c r="W27" s="30"/>
      <c r="X27" s="3"/>
      <c r="Y27" s="3"/>
      <c r="Z27" s="124">
        <f t="shared" si="0"/>
        <v>172.6</v>
      </c>
      <c r="AA27" s="124"/>
      <c r="AB27" s="28"/>
      <c r="AC27" s="7">
        <f t="shared" si="1"/>
        <v>6.8889473684210527</v>
      </c>
    </row>
    <row r="28" spans="1:30" x14ac:dyDescent="0.25">
      <c r="A28" s="67">
        <v>26</v>
      </c>
      <c r="B28" s="2" t="s">
        <v>496</v>
      </c>
      <c r="C28" s="100"/>
      <c r="D28" s="100"/>
      <c r="E28" s="100"/>
      <c r="F28" s="100">
        <f>80*(0.3*1.1+0.4*0.7)</f>
        <v>48.8</v>
      </c>
      <c r="G28" s="100"/>
      <c r="H28" s="100"/>
      <c r="I28" s="29"/>
      <c r="J28" s="29"/>
      <c r="K28" s="29"/>
      <c r="L28" s="31"/>
      <c r="M28" s="31"/>
      <c r="N28" s="31"/>
      <c r="O28" s="30"/>
      <c r="P28" s="30">
        <f>80*1*0.7</f>
        <v>56</v>
      </c>
      <c r="Q28" s="114"/>
      <c r="R28" s="114"/>
      <c r="S28" s="114"/>
      <c r="T28" s="30"/>
      <c r="U28" s="30"/>
      <c r="V28" s="30"/>
      <c r="W28" s="30"/>
      <c r="X28" s="3"/>
      <c r="Y28" s="3"/>
      <c r="Z28" s="124">
        <f t="shared" si="0"/>
        <v>104.8</v>
      </c>
      <c r="AA28" s="124"/>
      <c r="AB28" s="28"/>
      <c r="AC28" s="7">
        <f t="shared" si="1"/>
        <v>6.3536842105263158</v>
      </c>
    </row>
    <row r="29" spans="1:30" x14ac:dyDescent="0.25">
      <c r="A29" s="67">
        <v>27</v>
      </c>
      <c r="B29" s="2" t="s">
        <v>472</v>
      </c>
      <c r="C29" s="100"/>
      <c r="D29" s="100"/>
      <c r="E29" s="100">
        <f>50*1*1.1</f>
        <v>55.000000000000007</v>
      </c>
      <c r="F29" s="100"/>
      <c r="G29" s="100"/>
      <c r="H29" s="100"/>
      <c r="I29" s="29"/>
      <c r="J29" s="29"/>
      <c r="K29" s="29"/>
      <c r="L29" s="31"/>
      <c r="M29" s="31"/>
      <c r="N29" s="31"/>
      <c r="O29" s="30">
        <f>40*1*1.1</f>
        <v>44</v>
      </c>
      <c r="P29" s="30"/>
      <c r="Q29" s="114">
        <f>100*1*1.1</f>
        <v>110.00000000000001</v>
      </c>
      <c r="R29" s="114"/>
      <c r="S29" s="114">
        <f>120*0.8*1.1</f>
        <v>105.60000000000001</v>
      </c>
      <c r="T29" s="30"/>
      <c r="U29" s="30"/>
      <c r="V29" s="30">
        <f>180*1*0.8</f>
        <v>144</v>
      </c>
      <c r="W29" s="30"/>
      <c r="X29" s="3"/>
      <c r="Y29" s="3"/>
      <c r="Z29" s="124">
        <f t="shared" si="0"/>
        <v>458.6</v>
      </c>
      <c r="AA29" s="124"/>
      <c r="AB29" s="28"/>
      <c r="AC29" s="7">
        <f t="shared" si="1"/>
        <v>8.7515999999999998</v>
      </c>
    </row>
    <row r="30" spans="1:30" x14ac:dyDescent="0.25">
      <c r="A30" s="67">
        <v>28</v>
      </c>
      <c r="B30" s="2" t="s">
        <v>497</v>
      </c>
      <c r="C30" s="100"/>
      <c r="D30" s="100"/>
      <c r="E30" s="100"/>
      <c r="F30" s="100">
        <f>80*0.7*1.1</f>
        <v>61.600000000000009</v>
      </c>
      <c r="G30" s="100"/>
      <c r="H30" s="100"/>
      <c r="I30" s="29"/>
      <c r="J30" s="29"/>
      <c r="K30" s="29"/>
      <c r="L30" s="31"/>
      <c r="M30" s="31"/>
      <c r="N30" s="31"/>
      <c r="O30" s="30"/>
      <c r="P30" s="30">
        <f>80*1*0.9</f>
        <v>72</v>
      </c>
      <c r="Q30" s="114"/>
      <c r="R30" s="114"/>
      <c r="S30" s="114"/>
      <c r="T30" s="30"/>
      <c r="U30" s="30"/>
      <c r="V30" s="30"/>
      <c r="W30" s="30"/>
      <c r="X30" s="3"/>
      <c r="Y30" s="3"/>
      <c r="Z30" s="124">
        <f t="shared" si="0"/>
        <v>133.60000000000002</v>
      </c>
      <c r="AA30" s="124"/>
      <c r="AB30" s="28"/>
      <c r="AC30" s="7">
        <f t="shared" si="1"/>
        <v>6.5810526315789479</v>
      </c>
    </row>
    <row r="31" spans="1:30" x14ac:dyDescent="0.25">
      <c r="A31" s="67">
        <v>29</v>
      </c>
      <c r="B31" s="124"/>
      <c r="C31" s="100"/>
      <c r="D31" s="100"/>
      <c r="E31" s="100"/>
      <c r="F31" s="100"/>
      <c r="G31" s="100"/>
      <c r="H31" s="100"/>
      <c r="I31" s="29"/>
      <c r="J31" s="29"/>
      <c r="K31" s="29"/>
      <c r="L31" s="31"/>
      <c r="M31" s="31"/>
      <c r="N31" s="31"/>
      <c r="O31" s="30"/>
      <c r="P31" s="30"/>
      <c r="Q31" s="114"/>
      <c r="R31" s="114"/>
      <c r="S31" s="114"/>
      <c r="T31" s="30"/>
      <c r="U31" s="30"/>
      <c r="V31" s="30"/>
      <c r="W31" s="30"/>
      <c r="X31" s="3"/>
      <c r="Y31" s="3"/>
      <c r="Z31" s="124">
        <f t="shared" si="0"/>
        <v>0</v>
      </c>
      <c r="AA31" s="124"/>
      <c r="AB31" s="28"/>
      <c r="AC31" s="7">
        <f t="shared" si="1"/>
        <v>0</v>
      </c>
    </row>
    <row r="32" spans="1:30" x14ac:dyDescent="0.25">
      <c r="A32" s="67">
        <v>30</v>
      </c>
      <c r="B32" s="124"/>
      <c r="C32" s="100"/>
      <c r="D32" s="100"/>
      <c r="E32" s="100"/>
      <c r="F32" s="100"/>
      <c r="G32" s="100"/>
      <c r="H32" s="100"/>
      <c r="I32" s="29"/>
      <c r="J32" s="29"/>
      <c r="K32" s="29"/>
      <c r="L32" s="31"/>
      <c r="M32" s="31"/>
      <c r="N32" s="31"/>
      <c r="O32" s="30"/>
      <c r="P32" s="30"/>
      <c r="Q32" s="114"/>
      <c r="R32" s="114"/>
      <c r="S32" s="114"/>
      <c r="T32" s="30"/>
      <c r="U32" s="30"/>
      <c r="V32" s="30"/>
      <c r="W32" s="30"/>
      <c r="X32" s="3"/>
      <c r="Y32" s="3"/>
      <c r="Z32" s="124">
        <f t="shared" si="0"/>
        <v>0</v>
      </c>
      <c r="AA32" s="124"/>
      <c r="AB32" s="28"/>
      <c r="AC32" s="7">
        <f t="shared" si="1"/>
        <v>0</v>
      </c>
    </row>
    <row r="33" spans="1:29" x14ac:dyDescent="0.25">
      <c r="A33" s="67"/>
      <c r="B33" s="65" t="s">
        <v>124</v>
      </c>
      <c r="C33" s="10" t="s">
        <v>55</v>
      </c>
      <c r="D33" s="10" t="s">
        <v>56</v>
      </c>
      <c r="E33" s="10" t="s">
        <v>57</v>
      </c>
      <c r="F33" s="65" t="s">
        <v>295</v>
      </c>
      <c r="G33" s="65" t="s">
        <v>296</v>
      </c>
      <c r="H33" s="65" t="s">
        <v>297</v>
      </c>
      <c r="I33" s="10" t="s">
        <v>58</v>
      </c>
      <c r="J33" s="10" t="s">
        <v>59</v>
      </c>
      <c r="K33" s="10" t="s">
        <v>60</v>
      </c>
      <c r="L33" s="10" t="s">
        <v>61</v>
      </c>
      <c r="M33" s="10" t="s">
        <v>62</v>
      </c>
      <c r="N33" s="65" t="s">
        <v>405</v>
      </c>
      <c r="O33" s="10" t="s">
        <v>63</v>
      </c>
      <c r="P33" s="10" t="s">
        <v>64</v>
      </c>
      <c r="Q33" s="10" t="s">
        <v>65</v>
      </c>
      <c r="R33" s="65" t="s">
        <v>298</v>
      </c>
      <c r="S33" s="65" t="s">
        <v>396</v>
      </c>
      <c r="T33" s="65" t="s">
        <v>397</v>
      </c>
      <c r="U33" s="65" t="s">
        <v>398</v>
      </c>
      <c r="V33" s="65" t="s">
        <v>399</v>
      </c>
      <c r="W33" s="65" t="s">
        <v>402</v>
      </c>
      <c r="X33" s="65" t="s">
        <v>341</v>
      </c>
      <c r="Y33" s="65" t="s">
        <v>340</v>
      </c>
      <c r="Z33" s="10" t="s">
        <v>0</v>
      </c>
      <c r="AA33" s="10" t="s">
        <v>1</v>
      </c>
      <c r="AB33" s="10" t="s">
        <v>47</v>
      </c>
      <c r="AC33" s="10" t="s">
        <v>12</v>
      </c>
    </row>
    <row r="34" spans="1:29" x14ac:dyDescent="0.25">
      <c r="A34" s="67">
        <v>1</v>
      </c>
      <c r="B34" s="2" t="s">
        <v>422</v>
      </c>
      <c r="C34" s="100"/>
      <c r="D34" s="100"/>
      <c r="E34" s="100">
        <f>50*1*0.6</f>
        <v>30</v>
      </c>
      <c r="F34" s="100"/>
      <c r="G34" s="100"/>
      <c r="H34" s="100"/>
      <c r="I34" s="29"/>
      <c r="J34" s="29"/>
      <c r="K34" s="29"/>
      <c r="L34" s="31"/>
      <c r="M34" s="31"/>
      <c r="N34" s="31"/>
      <c r="O34" s="30"/>
      <c r="P34" s="30">
        <f>80*1*0.6</f>
        <v>48</v>
      </c>
      <c r="Q34" s="114"/>
      <c r="R34" s="114"/>
      <c r="S34" s="114"/>
      <c r="T34" s="30"/>
      <c r="U34" s="30"/>
      <c r="V34" s="30"/>
      <c r="W34" s="30"/>
      <c r="X34" s="3"/>
      <c r="Y34" s="3"/>
      <c r="Z34" s="3">
        <f t="shared" ref="Z34:Z63" si="2">SUM(C34:Y34)</f>
        <v>78</v>
      </c>
      <c r="AA34" s="3"/>
      <c r="AB34" s="28"/>
      <c r="AC34" s="7">
        <f t="shared" ref="AC34:AC63" si="3">NormalizeResult($C$71,$D$71,$C$70,$D$70,$C$69,$D$69,Z34)+AA34+IF(AB34&gt;$AB$64,AB34*$AB$65,0)</f>
        <v>6.1421052631578945</v>
      </c>
    </row>
    <row r="35" spans="1:29" x14ac:dyDescent="0.25">
      <c r="A35" s="67">
        <v>2</v>
      </c>
      <c r="B35" s="2" t="s">
        <v>423</v>
      </c>
      <c r="C35" s="100"/>
      <c r="D35" s="100"/>
      <c r="E35" s="100"/>
      <c r="F35" s="100"/>
      <c r="G35" s="100"/>
      <c r="H35" s="100"/>
      <c r="I35" s="29"/>
      <c r="J35" s="29"/>
      <c r="K35" s="29"/>
      <c r="L35" s="31"/>
      <c r="M35" s="31"/>
      <c r="N35" s="31"/>
      <c r="O35" s="30"/>
      <c r="P35" s="30"/>
      <c r="Q35" s="114"/>
      <c r="R35" s="114"/>
      <c r="S35" s="114"/>
      <c r="T35" s="30"/>
      <c r="U35" s="30"/>
      <c r="V35" s="30"/>
      <c r="W35" s="30"/>
      <c r="X35" s="124"/>
      <c r="Y35" s="124"/>
      <c r="Z35" s="124">
        <f t="shared" si="2"/>
        <v>0</v>
      </c>
      <c r="AA35" s="124"/>
      <c r="AB35" s="28"/>
      <c r="AC35" s="7">
        <f t="shared" si="3"/>
        <v>0</v>
      </c>
    </row>
    <row r="36" spans="1:29" x14ac:dyDescent="0.25">
      <c r="A36" s="67">
        <v>3</v>
      </c>
      <c r="B36" s="2" t="s">
        <v>424</v>
      </c>
      <c r="C36" s="100"/>
      <c r="D36" s="100"/>
      <c r="E36" s="100"/>
      <c r="F36" s="100"/>
      <c r="G36" s="100"/>
      <c r="H36" s="100"/>
      <c r="I36" s="29"/>
      <c r="J36" s="29"/>
      <c r="K36" s="29"/>
      <c r="L36" s="31"/>
      <c r="M36" s="31"/>
      <c r="N36" s="31"/>
      <c r="O36" s="30"/>
      <c r="P36" s="30"/>
      <c r="Q36" s="114"/>
      <c r="R36" s="114"/>
      <c r="S36" s="114"/>
      <c r="T36" s="30"/>
      <c r="U36" s="30"/>
      <c r="V36" s="30"/>
      <c r="W36" s="30"/>
      <c r="X36" s="124"/>
      <c r="Y36" s="124"/>
      <c r="Z36" s="124">
        <f t="shared" si="2"/>
        <v>0</v>
      </c>
      <c r="AA36" s="124"/>
      <c r="AB36" s="28"/>
      <c r="AC36" s="7">
        <f t="shared" si="3"/>
        <v>0</v>
      </c>
    </row>
    <row r="37" spans="1:29" x14ac:dyDescent="0.25">
      <c r="A37" s="67">
        <v>4</v>
      </c>
      <c r="B37" s="2" t="s">
        <v>425</v>
      </c>
      <c r="C37" s="100"/>
      <c r="D37" s="100"/>
      <c r="E37" s="100"/>
      <c r="F37" s="100"/>
      <c r="G37" s="100"/>
      <c r="H37" s="100"/>
      <c r="I37" s="29"/>
      <c r="J37" s="29"/>
      <c r="K37" s="29"/>
      <c r="L37" s="31"/>
      <c r="M37" s="31"/>
      <c r="N37" s="31"/>
      <c r="O37" s="30"/>
      <c r="P37" s="30"/>
      <c r="Q37" s="114"/>
      <c r="R37" s="114"/>
      <c r="S37" s="114"/>
      <c r="T37" s="30"/>
      <c r="U37" s="30"/>
      <c r="V37" s="30"/>
      <c r="W37" s="30"/>
      <c r="X37" s="124"/>
      <c r="Y37" s="124"/>
      <c r="Z37" s="124">
        <f t="shared" si="2"/>
        <v>0</v>
      </c>
      <c r="AA37" s="124"/>
      <c r="AB37" s="28"/>
      <c r="AC37" s="7">
        <f t="shared" si="3"/>
        <v>0</v>
      </c>
    </row>
    <row r="38" spans="1:29" x14ac:dyDescent="0.25">
      <c r="A38" s="67">
        <v>5</v>
      </c>
      <c r="B38" s="2" t="s">
        <v>426</v>
      </c>
      <c r="C38" s="100"/>
      <c r="D38" s="100">
        <f>40*1*0.6</f>
        <v>24</v>
      </c>
      <c r="E38" s="100"/>
      <c r="F38" s="100"/>
      <c r="G38" s="100"/>
      <c r="H38" s="100"/>
      <c r="I38" s="29"/>
      <c r="J38" s="29"/>
      <c r="K38" s="29"/>
      <c r="L38" s="31"/>
      <c r="M38" s="31">
        <f>50*1*0.6</f>
        <v>30</v>
      </c>
      <c r="N38" s="31"/>
      <c r="O38" s="30"/>
      <c r="P38" s="30"/>
      <c r="Q38" s="114"/>
      <c r="R38" s="114"/>
      <c r="S38" s="114"/>
      <c r="T38" s="30"/>
      <c r="U38" s="30"/>
      <c r="V38" s="30"/>
      <c r="W38" s="30"/>
      <c r="X38" s="124"/>
      <c r="Y38" s="124"/>
      <c r="Z38" s="124">
        <f t="shared" si="2"/>
        <v>54</v>
      </c>
      <c r="AA38" s="124"/>
      <c r="AB38" s="28"/>
      <c r="AC38" s="7">
        <f t="shared" si="3"/>
        <v>5.4</v>
      </c>
    </row>
    <row r="39" spans="1:29" x14ac:dyDescent="0.25">
      <c r="A39" s="67">
        <v>6</v>
      </c>
      <c r="B39" s="2" t="s">
        <v>427</v>
      </c>
      <c r="C39" s="100"/>
      <c r="D39" s="100">
        <f>40*1*1.1</f>
        <v>44</v>
      </c>
      <c r="E39" s="100"/>
      <c r="F39" s="100"/>
      <c r="G39" s="100"/>
      <c r="H39" s="100"/>
      <c r="I39" s="29">
        <f>20*1*1.1</f>
        <v>22</v>
      </c>
      <c r="J39" s="29"/>
      <c r="K39" s="29"/>
      <c r="L39" s="31"/>
      <c r="M39" s="31"/>
      <c r="N39" s="31"/>
      <c r="O39" s="30"/>
      <c r="P39" s="30"/>
      <c r="Q39" s="114"/>
      <c r="R39" s="114"/>
      <c r="S39" s="114"/>
      <c r="T39" s="30"/>
      <c r="U39" s="30"/>
      <c r="V39" s="30"/>
      <c r="W39" s="30"/>
      <c r="X39" s="124"/>
      <c r="Y39" s="124"/>
      <c r="Z39" s="124">
        <f t="shared" si="2"/>
        <v>66</v>
      </c>
      <c r="AA39" s="124"/>
      <c r="AB39" s="28"/>
      <c r="AC39" s="7">
        <f t="shared" si="3"/>
        <v>6.0473684210526315</v>
      </c>
    </row>
    <row r="40" spans="1:29" x14ac:dyDescent="0.25">
      <c r="A40" s="67">
        <v>7</v>
      </c>
      <c r="B40" s="2" t="s">
        <v>428</v>
      </c>
      <c r="C40" s="100"/>
      <c r="D40" s="100">
        <f>40*1*0.7</f>
        <v>28</v>
      </c>
      <c r="E40" s="100"/>
      <c r="F40" s="100"/>
      <c r="G40" s="100"/>
      <c r="H40" s="100"/>
      <c r="I40" s="29"/>
      <c r="J40" s="29">
        <f>30*1*0.6</f>
        <v>18</v>
      </c>
      <c r="K40" s="29"/>
      <c r="L40" s="31"/>
      <c r="M40" s="31"/>
      <c r="N40" s="31"/>
      <c r="O40" s="30">
        <f>40*1*0.6</f>
        <v>24</v>
      </c>
      <c r="P40" s="30"/>
      <c r="Q40" s="114"/>
      <c r="R40" s="114"/>
      <c r="S40" s="114"/>
      <c r="T40" s="30"/>
      <c r="U40" s="30"/>
      <c r="V40" s="30"/>
      <c r="W40" s="30"/>
      <c r="X40" s="124"/>
      <c r="Y40" s="124"/>
      <c r="Z40" s="124">
        <f t="shared" si="2"/>
        <v>70</v>
      </c>
      <c r="AA40" s="124"/>
      <c r="AB40" s="28"/>
      <c r="AC40" s="7">
        <f t="shared" si="3"/>
        <v>6.0789473684210522</v>
      </c>
    </row>
    <row r="41" spans="1:29" x14ac:dyDescent="0.25">
      <c r="A41" s="67">
        <v>8</v>
      </c>
      <c r="B41" s="2" t="s">
        <v>429</v>
      </c>
      <c r="C41" s="100"/>
      <c r="D41" s="100"/>
      <c r="E41" s="100"/>
      <c r="F41" s="100"/>
      <c r="G41" s="100"/>
      <c r="H41" s="100"/>
      <c r="I41" s="29"/>
      <c r="J41" s="29"/>
      <c r="K41" s="29"/>
      <c r="L41" s="31"/>
      <c r="M41" s="31"/>
      <c r="N41" s="31"/>
      <c r="O41" s="30"/>
      <c r="P41" s="30"/>
      <c r="Q41" s="114"/>
      <c r="R41" s="114"/>
      <c r="S41" s="114"/>
      <c r="T41" s="30"/>
      <c r="U41" s="30"/>
      <c r="V41" s="30"/>
      <c r="W41" s="30"/>
      <c r="X41" s="124"/>
      <c r="Y41" s="124"/>
      <c r="Z41" s="124">
        <f t="shared" si="2"/>
        <v>0</v>
      </c>
      <c r="AA41" s="124"/>
      <c r="AB41" s="28"/>
      <c r="AC41" s="7">
        <f t="shared" si="3"/>
        <v>0</v>
      </c>
    </row>
    <row r="42" spans="1:29" x14ac:dyDescent="0.25">
      <c r="A42" s="67">
        <v>9</v>
      </c>
      <c r="B42" s="2" t="s">
        <v>430</v>
      </c>
      <c r="C42" s="100"/>
      <c r="D42" s="100"/>
      <c r="E42" s="100"/>
      <c r="F42" s="100"/>
      <c r="G42" s="100"/>
      <c r="H42" s="100"/>
      <c r="I42" s="29"/>
      <c r="J42" s="29"/>
      <c r="K42" s="29"/>
      <c r="L42" s="31"/>
      <c r="M42" s="31"/>
      <c r="N42" s="31"/>
      <c r="O42" s="30"/>
      <c r="P42" s="30"/>
      <c r="Q42" s="114"/>
      <c r="R42" s="114"/>
      <c r="S42" s="114"/>
      <c r="T42" s="30"/>
      <c r="U42" s="30"/>
      <c r="V42" s="30"/>
      <c r="W42" s="30"/>
      <c r="X42" s="124"/>
      <c r="Y42" s="124"/>
      <c r="Z42" s="124">
        <f t="shared" si="2"/>
        <v>0</v>
      </c>
      <c r="AA42" s="124"/>
      <c r="AB42" s="28"/>
      <c r="AC42" s="7">
        <f t="shared" si="3"/>
        <v>0</v>
      </c>
    </row>
    <row r="43" spans="1:29" x14ac:dyDescent="0.25">
      <c r="A43" s="67">
        <v>10</v>
      </c>
      <c r="B43" s="2" t="s">
        <v>431</v>
      </c>
      <c r="C43" s="100"/>
      <c r="D43" s="100">
        <f>40*1*1.1</f>
        <v>44</v>
      </c>
      <c r="E43" s="100"/>
      <c r="F43" s="100"/>
      <c r="G43" s="100"/>
      <c r="H43" s="100"/>
      <c r="I43" s="29">
        <f>20*(0.6*0.8)*1.1</f>
        <v>10.56</v>
      </c>
      <c r="J43" s="29">
        <f>30*1*0.7</f>
        <v>21</v>
      </c>
      <c r="K43" s="29"/>
      <c r="L43" s="31"/>
      <c r="M43" s="31"/>
      <c r="N43" s="31"/>
      <c r="O43" s="30"/>
      <c r="P43" s="30"/>
      <c r="Q43" s="114"/>
      <c r="R43" s="114"/>
      <c r="S43" s="114"/>
      <c r="T43" s="30"/>
      <c r="U43" s="30"/>
      <c r="V43" s="30"/>
      <c r="W43" s="30"/>
      <c r="X43" s="124"/>
      <c r="Y43" s="124"/>
      <c r="Z43" s="124">
        <f t="shared" si="2"/>
        <v>75.56</v>
      </c>
      <c r="AA43" s="124"/>
      <c r="AB43" s="28"/>
      <c r="AC43" s="7">
        <f t="shared" si="3"/>
        <v>6.1228421052631576</v>
      </c>
    </row>
    <row r="44" spans="1:29" x14ac:dyDescent="0.25">
      <c r="A44" s="67">
        <v>11</v>
      </c>
      <c r="B44" s="2" t="s">
        <v>432</v>
      </c>
      <c r="C44" s="100"/>
      <c r="D44" s="100"/>
      <c r="E44" s="100"/>
      <c r="F44" s="100"/>
      <c r="G44" s="100"/>
      <c r="H44" s="100"/>
      <c r="I44" s="29"/>
      <c r="J44" s="29"/>
      <c r="K44" s="29"/>
      <c r="L44" s="31"/>
      <c r="M44" s="31"/>
      <c r="N44" s="31"/>
      <c r="O44" s="30"/>
      <c r="P44" s="30"/>
      <c r="Q44" s="114"/>
      <c r="R44" s="114"/>
      <c r="S44" s="114"/>
      <c r="T44" s="30"/>
      <c r="U44" s="30"/>
      <c r="V44" s="30"/>
      <c r="W44" s="30"/>
      <c r="X44" s="124"/>
      <c r="Y44" s="124"/>
      <c r="Z44" s="124">
        <f t="shared" si="2"/>
        <v>0</v>
      </c>
      <c r="AA44" s="124"/>
      <c r="AB44" s="28"/>
      <c r="AC44" s="7">
        <f t="shared" si="3"/>
        <v>0</v>
      </c>
    </row>
    <row r="45" spans="1:29" x14ac:dyDescent="0.25">
      <c r="A45" s="67">
        <v>12</v>
      </c>
      <c r="B45" s="2" t="s">
        <v>433</v>
      </c>
      <c r="C45" s="100"/>
      <c r="D45" s="100"/>
      <c r="E45" s="100"/>
      <c r="F45" s="100"/>
      <c r="G45" s="100"/>
      <c r="H45" s="100"/>
      <c r="I45" s="29"/>
      <c r="J45" s="29"/>
      <c r="K45" s="29"/>
      <c r="L45" s="31"/>
      <c r="M45" s="31"/>
      <c r="N45" s="31"/>
      <c r="O45" s="30"/>
      <c r="P45" s="30"/>
      <c r="Q45" s="114"/>
      <c r="R45" s="114"/>
      <c r="S45" s="114"/>
      <c r="T45" s="30"/>
      <c r="U45" s="30"/>
      <c r="V45" s="30"/>
      <c r="W45" s="30"/>
      <c r="X45" s="124"/>
      <c r="Y45" s="124"/>
      <c r="Z45" s="124">
        <f t="shared" si="2"/>
        <v>0</v>
      </c>
      <c r="AA45" s="124"/>
      <c r="AB45" s="28"/>
      <c r="AC45" s="7">
        <f t="shared" si="3"/>
        <v>0</v>
      </c>
    </row>
    <row r="46" spans="1:29" x14ac:dyDescent="0.25">
      <c r="A46" s="67">
        <v>13</v>
      </c>
      <c r="B46" s="2" t="s">
        <v>434</v>
      </c>
      <c r="C46" s="100"/>
      <c r="D46" s="100"/>
      <c r="E46" s="100"/>
      <c r="F46" s="100"/>
      <c r="G46" s="100"/>
      <c r="H46" s="100"/>
      <c r="I46" s="29"/>
      <c r="J46" s="29"/>
      <c r="K46" s="29"/>
      <c r="L46" s="31"/>
      <c r="M46" s="31"/>
      <c r="N46" s="31"/>
      <c r="O46" s="30"/>
      <c r="P46" s="30"/>
      <c r="Q46" s="114"/>
      <c r="R46" s="114"/>
      <c r="S46" s="114"/>
      <c r="T46" s="30"/>
      <c r="U46" s="30"/>
      <c r="V46" s="30"/>
      <c r="W46" s="30"/>
      <c r="X46" s="124"/>
      <c r="Y46" s="124"/>
      <c r="Z46" s="124">
        <f t="shared" si="2"/>
        <v>0</v>
      </c>
      <c r="AA46" s="124"/>
      <c r="AB46" s="28"/>
      <c r="AC46" s="7">
        <f t="shared" si="3"/>
        <v>0</v>
      </c>
    </row>
    <row r="47" spans="1:29" x14ac:dyDescent="0.25">
      <c r="A47" s="67">
        <v>14</v>
      </c>
      <c r="B47" s="2" t="s">
        <v>435</v>
      </c>
      <c r="C47" s="100"/>
      <c r="D47" s="100"/>
      <c r="E47" s="100"/>
      <c r="F47" s="100"/>
      <c r="G47" s="100"/>
      <c r="H47" s="100"/>
      <c r="I47" s="29"/>
      <c r="J47" s="29"/>
      <c r="K47" s="29"/>
      <c r="L47" s="31"/>
      <c r="M47" s="31"/>
      <c r="N47" s="31"/>
      <c r="O47" s="30"/>
      <c r="P47" s="30"/>
      <c r="Q47" s="114"/>
      <c r="R47" s="114"/>
      <c r="S47" s="114"/>
      <c r="T47" s="30"/>
      <c r="U47" s="30"/>
      <c r="V47" s="30"/>
      <c r="W47" s="30"/>
      <c r="X47" s="124"/>
      <c r="Y47" s="124"/>
      <c r="Z47" s="124">
        <f t="shared" si="2"/>
        <v>0</v>
      </c>
      <c r="AA47" s="124"/>
      <c r="AB47" s="28"/>
      <c r="AC47" s="7">
        <f t="shared" si="3"/>
        <v>0</v>
      </c>
    </row>
    <row r="48" spans="1:29" x14ac:dyDescent="0.25">
      <c r="A48" s="67">
        <v>15</v>
      </c>
      <c r="B48" s="2" t="s">
        <v>436</v>
      </c>
      <c r="C48" s="100"/>
      <c r="D48" s="100"/>
      <c r="E48" s="100">
        <f>50*1*0.7</f>
        <v>35</v>
      </c>
      <c r="F48" s="100"/>
      <c r="G48" s="100"/>
      <c r="H48" s="100"/>
      <c r="I48" s="29"/>
      <c r="J48" s="29"/>
      <c r="K48" s="29"/>
      <c r="L48" s="31"/>
      <c r="M48" s="31">
        <f>50*1*0.7</f>
        <v>35</v>
      </c>
      <c r="N48" s="31"/>
      <c r="O48" s="30"/>
      <c r="P48" s="30">
        <f>80*0.8*0.6</f>
        <v>38.4</v>
      </c>
      <c r="Q48" s="114"/>
      <c r="R48" s="114"/>
      <c r="S48" s="114">
        <f>120*1*0.6</f>
        <v>72</v>
      </c>
      <c r="T48" s="30"/>
      <c r="U48" s="30"/>
      <c r="V48" s="30"/>
      <c r="W48" s="30"/>
      <c r="X48" s="124"/>
      <c r="Y48" s="124"/>
      <c r="Z48" s="124">
        <f t="shared" si="2"/>
        <v>180.4</v>
      </c>
      <c r="AA48" s="124"/>
      <c r="AB48" s="28"/>
      <c r="AC48" s="7">
        <f t="shared" si="3"/>
        <v>6.9505263157894737</v>
      </c>
    </row>
    <row r="49" spans="1:29" x14ac:dyDescent="0.25">
      <c r="A49" s="67">
        <v>16</v>
      </c>
      <c r="B49" s="2" t="s">
        <v>437</v>
      </c>
      <c r="C49" s="100"/>
      <c r="D49" s="100"/>
      <c r="E49" s="100"/>
      <c r="F49" s="100"/>
      <c r="G49" s="100"/>
      <c r="H49" s="100"/>
      <c r="I49" s="29"/>
      <c r="J49" s="29"/>
      <c r="K49" s="29"/>
      <c r="L49" s="31"/>
      <c r="M49" s="31"/>
      <c r="N49" s="31"/>
      <c r="O49" s="30"/>
      <c r="P49" s="30"/>
      <c r="Q49" s="114"/>
      <c r="R49" s="114"/>
      <c r="S49" s="114"/>
      <c r="T49" s="30"/>
      <c r="U49" s="30"/>
      <c r="V49" s="30"/>
      <c r="W49" s="30"/>
      <c r="X49" s="124"/>
      <c r="Y49" s="124"/>
      <c r="Z49" s="124">
        <f t="shared" si="2"/>
        <v>0</v>
      </c>
      <c r="AA49" s="124"/>
      <c r="AB49" s="28"/>
      <c r="AC49" s="7">
        <f t="shared" si="3"/>
        <v>0</v>
      </c>
    </row>
    <row r="50" spans="1:29" x14ac:dyDescent="0.25">
      <c r="A50" s="67">
        <v>17</v>
      </c>
      <c r="B50" s="2" t="s">
        <v>438</v>
      </c>
      <c r="C50" s="100"/>
      <c r="D50" s="100">
        <f>40*1*0.6</f>
        <v>24</v>
      </c>
      <c r="E50" s="100"/>
      <c r="F50" s="100"/>
      <c r="G50" s="100"/>
      <c r="H50" s="100"/>
      <c r="I50" s="29"/>
      <c r="J50" s="29"/>
      <c r="K50" s="29"/>
      <c r="L50" s="31"/>
      <c r="M50" s="31">
        <f>50*1*0.6</f>
        <v>30</v>
      </c>
      <c r="N50" s="31"/>
      <c r="O50" s="30">
        <f>40*1*0.6</f>
        <v>24</v>
      </c>
      <c r="P50" s="30"/>
      <c r="Q50" s="114"/>
      <c r="R50" s="114"/>
      <c r="S50" s="114">
        <f>120*1*0.6</f>
        <v>72</v>
      </c>
      <c r="T50" s="30"/>
      <c r="U50" s="30"/>
      <c r="V50" s="30"/>
      <c r="W50" s="30"/>
      <c r="X50" s="3"/>
      <c r="Y50" s="3"/>
      <c r="Z50" s="124">
        <f t="shared" si="2"/>
        <v>150</v>
      </c>
      <c r="AA50" s="124"/>
      <c r="AB50" s="28"/>
      <c r="AC50" s="7">
        <f t="shared" si="3"/>
        <v>6.7105263157894735</v>
      </c>
    </row>
    <row r="51" spans="1:29" x14ac:dyDescent="0.25">
      <c r="A51" s="67">
        <v>18</v>
      </c>
      <c r="B51" s="2" t="s">
        <v>439</v>
      </c>
      <c r="C51" s="100"/>
      <c r="D51" s="100">
        <f>40*0.6*0.7</f>
        <v>16.799999999999997</v>
      </c>
      <c r="E51" s="100"/>
      <c r="F51" s="100"/>
      <c r="G51" s="100"/>
      <c r="H51" s="100"/>
      <c r="I51" s="29"/>
      <c r="J51" s="29"/>
      <c r="K51" s="29"/>
      <c r="L51" s="31"/>
      <c r="M51" s="31"/>
      <c r="N51" s="31"/>
      <c r="O51" s="30"/>
      <c r="P51" s="30"/>
      <c r="Q51" s="114"/>
      <c r="R51" s="114"/>
      <c r="S51" s="114"/>
      <c r="T51" s="30"/>
      <c r="U51" s="30"/>
      <c r="V51" s="30"/>
      <c r="W51" s="30"/>
      <c r="X51" s="3"/>
      <c r="Y51" s="3"/>
      <c r="Z51" s="124">
        <f t="shared" si="2"/>
        <v>16.799999999999997</v>
      </c>
      <c r="AA51" s="124"/>
      <c r="AB51" s="28"/>
      <c r="AC51" s="7">
        <f t="shared" si="3"/>
        <v>1.6799999999999997</v>
      </c>
    </row>
    <row r="52" spans="1:29" x14ac:dyDescent="0.25">
      <c r="A52" s="67">
        <v>19</v>
      </c>
      <c r="B52" s="2" t="s">
        <v>440</v>
      </c>
      <c r="C52" s="100"/>
      <c r="D52" s="100"/>
      <c r="E52" s="100"/>
      <c r="F52" s="100"/>
      <c r="G52" s="100"/>
      <c r="H52" s="100"/>
      <c r="I52" s="29"/>
      <c r="J52" s="29"/>
      <c r="K52" s="29"/>
      <c r="L52" s="31"/>
      <c r="M52" s="31"/>
      <c r="N52" s="31"/>
      <c r="O52" s="30"/>
      <c r="P52" s="30"/>
      <c r="Q52" s="114"/>
      <c r="R52" s="114"/>
      <c r="S52" s="114"/>
      <c r="T52" s="30"/>
      <c r="U52" s="30"/>
      <c r="V52" s="30"/>
      <c r="W52" s="30"/>
      <c r="X52" s="3"/>
      <c r="Y52" s="3"/>
      <c r="Z52" s="124">
        <f t="shared" si="2"/>
        <v>0</v>
      </c>
      <c r="AA52" s="124"/>
      <c r="AB52" s="28"/>
      <c r="AC52" s="7">
        <f t="shared" si="3"/>
        <v>0</v>
      </c>
    </row>
    <row r="53" spans="1:29" x14ac:dyDescent="0.25">
      <c r="A53" s="67">
        <v>20</v>
      </c>
      <c r="B53" s="2" t="s">
        <v>441</v>
      </c>
      <c r="C53" s="100"/>
      <c r="D53" s="100"/>
      <c r="E53" s="100"/>
      <c r="F53" s="100"/>
      <c r="G53" s="100"/>
      <c r="H53" s="100"/>
      <c r="I53" s="29"/>
      <c r="J53" s="29"/>
      <c r="K53" s="29"/>
      <c r="L53" s="31"/>
      <c r="M53" s="31"/>
      <c r="N53" s="31"/>
      <c r="O53" s="30"/>
      <c r="P53" s="30"/>
      <c r="Q53" s="114"/>
      <c r="R53" s="114"/>
      <c r="S53" s="114"/>
      <c r="T53" s="30"/>
      <c r="U53" s="30"/>
      <c r="V53" s="30"/>
      <c r="W53" s="30"/>
      <c r="X53" s="3"/>
      <c r="Y53" s="3"/>
      <c r="Z53" s="124">
        <f t="shared" si="2"/>
        <v>0</v>
      </c>
      <c r="AA53" s="124"/>
      <c r="AB53" s="28"/>
      <c r="AC53" s="7">
        <f t="shared" si="3"/>
        <v>0</v>
      </c>
    </row>
    <row r="54" spans="1:29" x14ac:dyDescent="0.25">
      <c r="A54" s="67">
        <v>21</v>
      </c>
      <c r="B54" s="2" t="s">
        <v>442</v>
      </c>
      <c r="C54" s="100"/>
      <c r="D54" s="100">
        <f>40*1*1.1</f>
        <v>44</v>
      </c>
      <c r="E54" s="100"/>
      <c r="F54" s="100"/>
      <c r="G54" s="100"/>
      <c r="H54" s="100"/>
      <c r="I54" s="29"/>
      <c r="J54" s="29"/>
      <c r="K54" s="29"/>
      <c r="L54" s="31"/>
      <c r="M54" s="31"/>
      <c r="N54" s="31"/>
      <c r="O54" s="30"/>
      <c r="P54" s="30"/>
      <c r="Q54" s="114"/>
      <c r="R54" s="114"/>
      <c r="S54" s="114"/>
      <c r="T54" s="30"/>
      <c r="U54" s="30"/>
      <c r="V54" s="30"/>
      <c r="W54" s="30"/>
      <c r="X54" s="3"/>
      <c r="Y54" s="3"/>
      <c r="Z54" s="124">
        <f t="shared" si="2"/>
        <v>44</v>
      </c>
      <c r="AA54" s="124"/>
      <c r="AB54" s="28"/>
      <c r="AC54" s="7">
        <f t="shared" si="3"/>
        <v>4.4000000000000004</v>
      </c>
    </row>
    <row r="55" spans="1:29" x14ac:dyDescent="0.25">
      <c r="A55" s="67">
        <v>22</v>
      </c>
      <c r="B55" s="2" t="s">
        <v>443</v>
      </c>
      <c r="C55" s="100"/>
      <c r="D55" s="100"/>
      <c r="E55" s="100"/>
      <c r="F55" s="100">
        <f>80*1*0.9</f>
        <v>72</v>
      </c>
      <c r="G55" s="100"/>
      <c r="H55" s="100"/>
      <c r="I55" s="29"/>
      <c r="J55" s="29"/>
      <c r="K55" s="29"/>
      <c r="L55" s="31"/>
      <c r="M55" s="31"/>
      <c r="N55" s="31"/>
      <c r="O55" s="30"/>
      <c r="P55" s="30"/>
      <c r="Q55" s="114"/>
      <c r="R55" s="114"/>
      <c r="S55" s="114"/>
      <c r="T55" s="30"/>
      <c r="U55" s="30"/>
      <c r="V55" s="30"/>
      <c r="W55" s="30"/>
      <c r="X55" s="3"/>
      <c r="Y55" s="3"/>
      <c r="Z55" s="124">
        <f t="shared" si="2"/>
        <v>72</v>
      </c>
      <c r="AA55" s="124"/>
      <c r="AB55" s="28"/>
      <c r="AC55" s="7">
        <f t="shared" si="3"/>
        <v>6.094736842105263</v>
      </c>
    </row>
    <row r="56" spans="1:29" x14ac:dyDescent="0.25">
      <c r="A56" s="67">
        <v>23</v>
      </c>
      <c r="B56" s="2" t="s">
        <v>444</v>
      </c>
      <c r="C56" s="100"/>
      <c r="D56" s="100"/>
      <c r="E56" s="100"/>
      <c r="F56" s="100"/>
      <c r="G56" s="100"/>
      <c r="H56" s="100"/>
      <c r="I56" s="29"/>
      <c r="J56" s="29"/>
      <c r="K56" s="29"/>
      <c r="L56" s="31"/>
      <c r="M56" s="31"/>
      <c r="N56" s="31"/>
      <c r="O56" s="30"/>
      <c r="P56" s="30"/>
      <c r="Q56" s="114"/>
      <c r="R56" s="114"/>
      <c r="S56" s="114"/>
      <c r="T56" s="30"/>
      <c r="U56" s="30"/>
      <c r="V56" s="30"/>
      <c r="W56" s="30"/>
      <c r="X56" s="3"/>
      <c r="Y56" s="3"/>
      <c r="Z56" s="124">
        <f t="shared" si="2"/>
        <v>0</v>
      </c>
      <c r="AA56" s="124"/>
      <c r="AB56" s="28"/>
      <c r="AC56" s="7">
        <f t="shared" si="3"/>
        <v>0</v>
      </c>
    </row>
    <row r="57" spans="1:29" x14ac:dyDescent="0.25">
      <c r="A57" s="67">
        <v>24</v>
      </c>
      <c r="B57" s="2" t="s">
        <v>445</v>
      </c>
      <c r="C57" s="100"/>
      <c r="D57" s="100"/>
      <c r="E57" s="100"/>
      <c r="F57" s="100"/>
      <c r="G57" s="100"/>
      <c r="H57" s="100"/>
      <c r="I57" s="29"/>
      <c r="J57" s="29"/>
      <c r="K57" s="29"/>
      <c r="L57" s="31"/>
      <c r="M57" s="31"/>
      <c r="N57" s="31"/>
      <c r="O57" s="30"/>
      <c r="P57" s="30"/>
      <c r="Q57" s="114"/>
      <c r="R57" s="114"/>
      <c r="S57" s="114"/>
      <c r="T57" s="30"/>
      <c r="U57" s="30"/>
      <c r="V57" s="30"/>
      <c r="W57" s="30"/>
      <c r="X57" s="3"/>
      <c r="Y57" s="3"/>
      <c r="Z57" s="124">
        <f t="shared" si="2"/>
        <v>0</v>
      </c>
      <c r="AA57" s="124"/>
      <c r="AB57" s="28"/>
      <c r="AC57" s="7">
        <f t="shared" si="3"/>
        <v>0</v>
      </c>
    </row>
    <row r="58" spans="1:29" x14ac:dyDescent="0.25">
      <c r="A58" s="67">
        <v>25</v>
      </c>
      <c r="B58" s="2" t="s">
        <v>446</v>
      </c>
      <c r="C58" s="100"/>
      <c r="D58" s="100"/>
      <c r="E58" s="100"/>
      <c r="F58" s="100"/>
      <c r="G58" s="100"/>
      <c r="H58" s="100"/>
      <c r="I58" s="29"/>
      <c r="J58" s="29"/>
      <c r="K58" s="29"/>
      <c r="L58" s="31"/>
      <c r="M58" s="31"/>
      <c r="N58" s="31"/>
      <c r="O58" s="30"/>
      <c r="P58" s="30"/>
      <c r="Q58" s="114"/>
      <c r="R58" s="114"/>
      <c r="S58" s="114"/>
      <c r="T58" s="30"/>
      <c r="U58" s="30"/>
      <c r="V58" s="30"/>
      <c r="W58" s="30"/>
      <c r="X58" s="3"/>
      <c r="Y58" s="3"/>
      <c r="Z58" s="124">
        <f t="shared" si="2"/>
        <v>0</v>
      </c>
      <c r="AA58" s="124"/>
      <c r="AB58" s="28"/>
      <c r="AC58" s="7">
        <f t="shared" si="3"/>
        <v>0</v>
      </c>
    </row>
    <row r="59" spans="1:29" x14ac:dyDescent="0.25">
      <c r="A59" s="67">
        <v>26</v>
      </c>
      <c r="B59" s="2" t="s">
        <v>447</v>
      </c>
      <c r="C59" s="100"/>
      <c r="D59" s="100"/>
      <c r="E59" s="100"/>
      <c r="F59" s="100"/>
      <c r="G59" s="100"/>
      <c r="H59" s="100"/>
      <c r="I59" s="29"/>
      <c r="J59" s="29"/>
      <c r="K59" s="29"/>
      <c r="L59" s="31"/>
      <c r="M59" s="31"/>
      <c r="N59" s="31"/>
      <c r="O59" s="30"/>
      <c r="P59" s="30"/>
      <c r="Q59" s="114"/>
      <c r="R59" s="114"/>
      <c r="S59" s="114"/>
      <c r="T59" s="30"/>
      <c r="U59" s="30"/>
      <c r="V59" s="30"/>
      <c r="W59" s="30"/>
      <c r="X59" s="3"/>
      <c r="Y59" s="3"/>
      <c r="Z59" s="124">
        <f t="shared" si="2"/>
        <v>0</v>
      </c>
      <c r="AA59" s="124"/>
      <c r="AB59" s="28"/>
      <c r="AC59" s="7">
        <f t="shared" si="3"/>
        <v>0</v>
      </c>
    </row>
    <row r="60" spans="1:29" x14ac:dyDescent="0.25">
      <c r="A60" s="67">
        <v>27</v>
      </c>
      <c r="B60" s="2" t="s">
        <v>448</v>
      </c>
      <c r="C60" s="100"/>
      <c r="D60" s="100">
        <f>40*1*1.1</f>
        <v>44</v>
      </c>
      <c r="E60" s="100"/>
      <c r="F60" s="100"/>
      <c r="G60" s="100"/>
      <c r="H60" s="100"/>
      <c r="I60" s="29"/>
      <c r="J60" s="29"/>
      <c r="K60" s="29"/>
      <c r="L60" s="31"/>
      <c r="M60" s="31">
        <f>50*1*1.1</f>
        <v>55.000000000000007</v>
      </c>
      <c r="N60" s="31"/>
      <c r="O60" s="30"/>
      <c r="P60" s="30">
        <f>80*(0.5*1.1+0.5*0.9)</f>
        <v>80</v>
      </c>
      <c r="Q60" s="114"/>
      <c r="R60" s="114"/>
      <c r="S60" s="114"/>
      <c r="T60" s="30"/>
      <c r="U60" s="30">
        <f>180*0.8*1.1</f>
        <v>158.4</v>
      </c>
      <c r="V60" s="30"/>
      <c r="W60" s="30"/>
      <c r="X60" s="124"/>
      <c r="Y60" s="3"/>
      <c r="Z60" s="124">
        <f t="shared" si="2"/>
        <v>337.4</v>
      </c>
      <c r="AA60" s="124"/>
      <c r="AB60" s="28"/>
      <c r="AC60" s="7">
        <f t="shared" si="3"/>
        <v>8.0244</v>
      </c>
    </row>
    <row r="61" spans="1:29" x14ac:dyDescent="0.25">
      <c r="A61" s="67">
        <v>28</v>
      </c>
      <c r="B61" s="124" t="s">
        <v>553</v>
      </c>
      <c r="C61" s="100"/>
      <c r="D61" s="100"/>
      <c r="E61" s="100"/>
      <c r="F61" s="100">
        <f>80*0.8*1</f>
        <v>64</v>
      </c>
      <c r="G61" s="100"/>
      <c r="H61" s="100"/>
      <c r="I61" s="29"/>
      <c r="J61" s="29"/>
      <c r="K61" s="29"/>
      <c r="L61" s="31"/>
      <c r="M61" s="31"/>
      <c r="N61" s="31"/>
      <c r="O61" s="30"/>
      <c r="P61" s="30">
        <f>80*0.5*1</f>
        <v>40</v>
      </c>
      <c r="Q61" s="114"/>
      <c r="R61" s="114"/>
      <c r="S61" s="114"/>
      <c r="T61" s="30"/>
      <c r="U61" s="30"/>
      <c r="V61" s="30"/>
      <c r="W61" s="30"/>
      <c r="X61" s="124"/>
      <c r="Z61" s="124">
        <f t="shared" si="2"/>
        <v>104</v>
      </c>
      <c r="AA61" s="124"/>
      <c r="AB61" s="28"/>
      <c r="AC61" s="7">
        <f t="shared" si="3"/>
        <v>6.3473684210526313</v>
      </c>
    </row>
    <row r="62" spans="1:29" x14ac:dyDescent="0.25">
      <c r="A62" s="67">
        <v>29</v>
      </c>
      <c r="B62" s="124"/>
      <c r="C62" s="100"/>
      <c r="D62" s="100"/>
      <c r="E62" s="100"/>
      <c r="F62" s="100"/>
      <c r="G62" s="100"/>
      <c r="H62" s="100"/>
      <c r="I62" s="29"/>
      <c r="J62" s="29"/>
      <c r="K62" s="29"/>
      <c r="L62" s="31"/>
      <c r="M62" s="31"/>
      <c r="N62" s="31"/>
      <c r="O62" s="30"/>
      <c r="P62" s="30"/>
      <c r="Q62" s="114"/>
      <c r="R62" s="114"/>
      <c r="S62" s="114"/>
      <c r="T62" s="30"/>
      <c r="U62" s="30"/>
      <c r="V62" s="30"/>
      <c r="W62" s="30"/>
      <c r="X62" s="124"/>
      <c r="Y62" s="3"/>
      <c r="Z62" s="124">
        <f t="shared" si="2"/>
        <v>0</v>
      </c>
      <c r="AA62" s="124"/>
      <c r="AB62" s="28"/>
      <c r="AC62" s="7">
        <f t="shared" si="3"/>
        <v>0</v>
      </c>
    </row>
    <row r="63" spans="1:29" x14ac:dyDescent="0.25">
      <c r="A63" s="67">
        <v>30</v>
      </c>
      <c r="B63" s="124"/>
      <c r="C63" s="100"/>
      <c r="D63" s="100"/>
      <c r="E63" s="100"/>
      <c r="F63" s="100"/>
      <c r="G63" s="100"/>
      <c r="H63" s="100"/>
      <c r="I63" s="29"/>
      <c r="J63" s="29"/>
      <c r="K63" s="29"/>
      <c r="L63" s="31"/>
      <c r="M63" s="31"/>
      <c r="N63" s="31"/>
      <c r="O63" s="30"/>
      <c r="P63" s="30"/>
      <c r="Q63" s="114"/>
      <c r="R63" s="114"/>
      <c r="S63" s="114"/>
      <c r="T63" s="30"/>
      <c r="U63" s="30"/>
      <c r="V63" s="30"/>
      <c r="W63" s="30"/>
      <c r="X63" s="124"/>
      <c r="Y63" s="3"/>
      <c r="Z63" s="124">
        <f t="shared" si="2"/>
        <v>0</v>
      </c>
      <c r="AA63" s="124"/>
      <c r="AB63" s="28"/>
      <c r="AC63" s="7">
        <f t="shared" si="3"/>
        <v>0</v>
      </c>
    </row>
    <row r="64" spans="1:29" x14ac:dyDescent="0.25">
      <c r="B64" s="1" t="s">
        <v>18</v>
      </c>
      <c r="C64">
        <v>20</v>
      </c>
      <c r="D64">
        <v>40</v>
      </c>
      <c r="E64">
        <v>50</v>
      </c>
      <c r="F64">
        <v>80</v>
      </c>
      <c r="G64">
        <v>50</v>
      </c>
      <c r="H64">
        <v>50</v>
      </c>
      <c r="I64">
        <v>20</v>
      </c>
      <c r="J64">
        <v>30</v>
      </c>
      <c r="K64">
        <v>30</v>
      </c>
      <c r="L64">
        <v>30</v>
      </c>
      <c r="M64">
        <v>50</v>
      </c>
      <c r="N64">
        <v>100</v>
      </c>
      <c r="O64">
        <v>40</v>
      </c>
      <c r="P64">
        <v>80</v>
      </c>
      <c r="Q64">
        <v>100</v>
      </c>
      <c r="R64">
        <v>60</v>
      </c>
      <c r="S64">
        <v>120</v>
      </c>
      <c r="T64">
        <v>150</v>
      </c>
      <c r="U64">
        <v>180</v>
      </c>
      <c r="V64">
        <v>180</v>
      </c>
      <c r="AB64" s="22">
        <v>0.6</v>
      </c>
    </row>
    <row r="65" spans="2:28" x14ac:dyDescent="0.25">
      <c r="AA65" t="s">
        <v>48</v>
      </c>
      <c r="AB65" s="27">
        <v>0.2</v>
      </c>
    </row>
    <row r="68" spans="2:28" x14ac:dyDescent="0.25">
      <c r="C68" t="s">
        <v>16</v>
      </c>
      <c r="D68" t="s">
        <v>17</v>
      </c>
      <c r="Z68" s="11"/>
    </row>
    <row r="69" spans="2:28" x14ac:dyDescent="0.25">
      <c r="B69" t="s">
        <v>13</v>
      </c>
      <c r="C69">
        <v>500</v>
      </c>
      <c r="D69">
        <f>D71*1.5</f>
        <v>9</v>
      </c>
      <c r="Z69" s="12"/>
    </row>
    <row r="70" spans="2:28" x14ac:dyDescent="0.25">
      <c r="B70" t="s">
        <v>14</v>
      </c>
      <c r="C70">
        <v>250</v>
      </c>
      <c r="D70">
        <f>(D69-D71)*0.5+D71</f>
        <v>7.5</v>
      </c>
    </row>
    <row r="71" spans="2:28" x14ac:dyDescent="0.25">
      <c r="B71" t="s">
        <v>15</v>
      </c>
      <c r="C71">
        <v>60</v>
      </c>
      <c r="D71">
        <v>6</v>
      </c>
    </row>
    <row r="74" spans="2:28" ht="15.75" x14ac:dyDescent="0.3">
      <c r="B74" s="134" t="s">
        <v>159</v>
      </c>
    </row>
    <row r="75" spans="2:28" ht="15.75" x14ac:dyDescent="0.3">
      <c r="B75" s="134" t="s">
        <v>498</v>
      </c>
    </row>
    <row r="76" spans="2:28" ht="15.75" x14ac:dyDescent="0.3">
      <c r="B76" s="134" t="s">
        <v>499</v>
      </c>
    </row>
    <row r="77" spans="2:28" ht="15.75" x14ac:dyDescent="0.3">
      <c r="B77" s="134" t="s">
        <v>500</v>
      </c>
    </row>
    <row r="78" spans="2:28" ht="15.75" x14ac:dyDescent="0.3">
      <c r="B78" s="134" t="s">
        <v>501</v>
      </c>
    </row>
    <row r="79" spans="2:28" ht="15.75" x14ac:dyDescent="0.3">
      <c r="B79" s="134" t="s">
        <v>502</v>
      </c>
    </row>
    <row r="80" spans="2:28" ht="15.75" x14ac:dyDescent="0.3">
      <c r="B80" s="134" t="s">
        <v>503</v>
      </c>
    </row>
    <row r="82" spans="2:2" ht="15.75" x14ac:dyDescent="0.3">
      <c r="B82" s="134" t="s">
        <v>219</v>
      </c>
    </row>
    <row r="83" spans="2:2" ht="15.75" x14ac:dyDescent="0.3">
      <c r="B83" s="134" t="s">
        <v>504</v>
      </c>
    </row>
    <row r="84" spans="2:2" ht="15.75" x14ac:dyDescent="0.3">
      <c r="B84" s="134" t="s">
        <v>505</v>
      </c>
    </row>
    <row r="85" spans="2:2" ht="15.75" x14ac:dyDescent="0.3">
      <c r="B85" s="134" t="s">
        <v>506</v>
      </c>
    </row>
    <row r="86" spans="2:2" ht="15.75" x14ac:dyDescent="0.3">
      <c r="B86" s="134" t="s">
        <v>507</v>
      </c>
    </row>
    <row r="87" spans="2:2" ht="15.75" x14ac:dyDescent="0.3">
      <c r="B87" s="134" t="s">
        <v>508</v>
      </c>
    </row>
    <row r="88" spans="2:2" ht="15.75" x14ac:dyDescent="0.3">
      <c r="B88" s="134" t="s">
        <v>509</v>
      </c>
    </row>
    <row r="95" spans="2:2" x14ac:dyDescent="0.25">
      <c r="B95" s="77"/>
    </row>
    <row r="96" spans="2:2" x14ac:dyDescent="0.25">
      <c r="B96" s="77"/>
    </row>
  </sheetData>
  <sortState ref="B27:B40">
    <sortCondition ref="B27:B40"/>
  </sortState>
  <phoneticPr fontId="8" type="noConversion"/>
  <conditionalFormatting sqref="AC34:AC63 AC3:AC32">
    <cfRule type="colorScale" priority="1">
      <colorScale>
        <cfvo type="num" val="0"/>
        <cfvo type="num" val="$D$71"/>
        <cfvo type="num" val="$D$69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C9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71" sqref="C70:C71"/>
    </sheetView>
  </sheetViews>
  <sheetFormatPr defaultRowHeight="15" x14ac:dyDescent="0.25"/>
  <cols>
    <col min="1" max="1" width="4.7109375" customWidth="1"/>
    <col min="2" max="2" width="41.7109375" bestFit="1" customWidth="1"/>
    <col min="3" max="3" width="7.85546875" customWidth="1"/>
    <col min="4" max="4" width="13.42578125" customWidth="1"/>
    <col min="5" max="5" width="11.140625" customWidth="1"/>
    <col min="6" max="6" width="13.5703125" customWidth="1"/>
    <col min="7" max="7" width="11.42578125" customWidth="1"/>
    <col min="8" max="8" width="10.140625" customWidth="1"/>
    <col min="9" max="9" width="11.140625" customWidth="1"/>
    <col min="10" max="10" width="13.140625" bestFit="1" customWidth="1"/>
    <col min="11" max="11" width="12.85546875" bestFit="1" customWidth="1"/>
    <col min="12" max="12" width="10.7109375" bestFit="1" customWidth="1"/>
    <col min="13" max="15" width="11.42578125" customWidth="1"/>
    <col min="16" max="16" width="12.140625" customWidth="1"/>
    <col min="17" max="17" width="10.7109375" customWidth="1"/>
    <col min="18" max="18" width="10.28515625" bestFit="1" customWidth="1"/>
    <col min="19" max="19" width="10.42578125" customWidth="1"/>
    <col min="20" max="20" width="9.5703125" customWidth="1"/>
    <col min="21" max="22" width="13.28515625" customWidth="1"/>
    <col min="23" max="23" width="10.28515625" bestFit="1" customWidth="1"/>
    <col min="24" max="24" width="10.28515625" customWidth="1"/>
    <col min="25" max="25" width="10.28515625" bestFit="1" customWidth="1"/>
    <col min="26" max="26" width="10.28515625" customWidth="1"/>
    <col min="27" max="27" width="11.85546875" customWidth="1"/>
    <col min="28" max="32" width="10.28515625" bestFit="1" customWidth="1"/>
  </cols>
  <sheetData>
    <row r="1" spans="1:28" x14ac:dyDescent="0.25">
      <c r="B1" t="s">
        <v>66</v>
      </c>
    </row>
    <row r="2" spans="1:28" x14ac:dyDescent="0.25">
      <c r="A2" s="67"/>
      <c r="B2" s="65" t="s">
        <v>20</v>
      </c>
      <c r="C2" s="10" t="s">
        <v>67</v>
      </c>
      <c r="D2" s="65" t="s">
        <v>222</v>
      </c>
      <c r="E2" s="65" t="s">
        <v>346</v>
      </c>
      <c r="F2" s="65" t="s">
        <v>347</v>
      </c>
      <c r="G2" s="65" t="s">
        <v>348</v>
      </c>
      <c r="H2" s="65" t="s">
        <v>349</v>
      </c>
      <c r="I2" s="65" t="s">
        <v>350</v>
      </c>
      <c r="J2" s="65" t="s">
        <v>351</v>
      </c>
      <c r="K2" s="65" t="s">
        <v>352</v>
      </c>
      <c r="L2" s="65" t="s">
        <v>353</v>
      </c>
      <c r="M2" s="65" t="s">
        <v>354</v>
      </c>
      <c r="N2" s="65" t="s">
        <v>406</v>
      </c>
      <c r="O2" s="65" t="s">
        <v>355</v>
      </c>
      <c r="P2" s="65" t="s">
        <v>356</v>
      </c>
      <c r="Q2" s="65" t="s">
        <v>357</v>
      </c>
      <c r="R2" s="65" t="s">
        <v>358</v>
      </c>
      <c r="S2" s="65" t="s">
        <v>359</v>
      </c>
      <c r="T2" s="65" t="s">
        <v>542</v>
      </c>
      <c r="U2" s="65" t="s">
        <v>360</v>
      </c>
      <c r="V2" s="65" t="s">
        <v>341</v>
      </c>
      <c r="W2" s="10" t="s">
        <v>1</v>
      </c>
      <c r="X2" s="65" t="s">
        <v>340</v>
      </c>
      <c r="Y2" s="10" t="s">
        <v>0</v>
      </c>
      <c r="Z2" s="10" t="s">
        <v>1</v>
      </c>
      <c r="AA2" s="10" t="s">
        <v>47</v>
      </c>
      <c r="AB2" s="10" t="s">
        <v>12</v>
      </c>
    </row>
    <row r="3" spans="1:28" x14ac:dyDescent="0.25">
      <c r="A3" s="67">
        <v>1</v>
      </c>
      <c r="B3" s="2" t="s">
        <v>466</v>
      </c>
      <c r="C3" s="108">
        <f>20*(0.5*0.8+0.5*0.6)</f>
        <v>14</v>
      </c>
      <c r="D3" s="108">
        <f>10*(1*0.8)</f>
        <v>8</v>
      </c>
      <c r="E3" s="6"/>
      <c r="F3" s="6"/>
      <c r="G3" s="100"/>
      <c r="H3" s="100"/>
      <c r="I3" s="100">
        <f>60*0.5*0.6</f>
        <v>18</v>
      </c>
      <c r="J3" s="29"/>
      <c r="K3" s="29"/>
      <c r="L3" s="29">
        <f>90*0.7*0.6</f>
        <v>37.799999999999997</v>
      </c>
      <c r="M3" s="29">
        <f>10*1*0.6</f>
        <v>6</v>
      </c>
      <c r="N3" s="29">
        <f>20*1*0.6</f>
        <v>12</v>
      </c>
      <c r="O3" s="30"/>
      <c r="P3" s="30"/>
      <c r="Q3" s="30"/>
      <c r="R3" s="30"/>
      <c r="S3" s="30">
        <f>100*1*0.6</f>
        <v>60</v>
      </c>
      <c r="T3" s="122"/>
      <c r="U3" s="123"/>
      <c r="V3" s="123"/>
      <c r="W3" s="124"/>
      <c r="X3" s="121"/>
      <c r="Y3" s="124">
        <f t="shared" ref="Y3:Y32" si="0">SUM(C3:X3)</f>
        <v>155.80000000000001</v>
      </c>
      <c r="Z3" s="124"/>
      <c r="AA3" s="28"/>
      <c r="AB3" s="7">
        <f t="shared" ref="AB3:AB32" si="1">NormalizeResult($C$71,$D$71,$C$70,$D$70,$C$69,$D$69,Y3)+Z3+IF(AA3&gt;$AA$64,AA3*$Z$65,0)</f>
        <v>6.4184999999999999</v>
      </c>
    </row>
    <row r="4" spans="1:28" x14ac:dyDescent="0.25">
      <c r="A4" s="67">
        <v>2</v>
      </c>
      <c r="B4" s="2" t="s">
        <v>478</v>
      </c>
      <c r="C4" s="108">
        <f>20*1*0.6</f>
        <v>12</v>
      </c>
      <c r="D4" s="108">
        <f>10*1*0.6</f>
        <v>6</v>
      </c>
      <c r="E4" s="6"/>
      <c r="F4" s="6"/>
      <c r="G4" s="100"/>
      <c r="H4" s="100"/>
      <c r="I4" s="100">
        <f>60*1*0.6</f>
        <v>36</v>
      </c>
      <c r="J4" s="29"/>
      <c r="K4" s="29"/>
      <c r="L4" s="29"/>
      <c r="M4" s="29"/>
      <c r="N4" s="29"/>
      <c r="O4" s="30"/>
      <c r="P4" s="30"/>
      <c r="Q4" s="30"/>
      <c r="R4" s="30"/>
      <c r="S4" s="30">
        <f>100*1*0.6</f>
        <v>60</v>
      </c>
      <c r="T4" s="122"/>
      <c r="U4" s="123"/>
      <c r="V4" s="123"/>
      <c r="W4" s="124"/>
      <c r="X4" s="121"/>
      <c r="Y4" s="124">
        <f t="shared" si="0"/>
        <v>114</v>
      </c>
      <c r="Z4" s="124"/>
      <c r="AA4" s="28"/>
      <c r="AB4" s="7">
        <f t="shared" si="1"/>
        <v>6.1050000000000004</v>
      </c>
    </row>
    <row r="5" spans="1:28" x14ac:dyDescent="0.25">
      <c r="A5" s="67">
        <v>3</v>
      </c>
      <c r="B5" t="s">
        <v>449</v>
      </c>
      <c r="C5" s="108"/>
      <c r="D5" s="108"/>
      <c r="E5" s="6"/>
      <c r="F5" s="6"/>
      <c r="G5" s="100">
        <f>50*(0.6*0.8)</f>
        <v>24</v>
      </c>
      <c r="H5" s="100"/>
      <c r="I5" s="100"/>
      <c r="J5" s="29"/>
      <c r="K5" s="29"/>
      <c r="L5" s="29">
        <f>90*0.4*0.6</f>
        <v>21.599999999999998</v>
      </c>
      <c r="M5" s="29"/>
      <c r="N5" s="29"/>
      <c r="O5" s="30"/>
      <c r="P5" s="30"/>
      <c r="Q5" s="30"/>
      <c r="R5" s="30"/>
      <c r="S5" s="30">
        <f>100*1*0.6</f>
        <v>60</v>
      </c>
      <c r="T5" s="122"/>
      <c r="U5" s="123"/>
      <c r="V5" s="123"/>
      <c r="W5" s="3"/>
      <c r="X5" s="121"/>
      <c r="Y5" s="3">
        <f>SUM(C5:X5)</f>
        <v>105.6</v>
      </c>
      <c r="Z5" s="3"/>
      <c r="AA5" s="28"/>
      <c r="AB5" s="7">
        <f t="shared" si="1"/>
        <v>6.0419999999999998</v>
      </c>
    </row>
    <row r="6" spans="1:28" x14ac:dyDescent="0.25">
      <c r="A6" s="67">
        <v>4</v>
      </c>
      <c r="B6" s="2" t="s">
        <v>479</v>
      </c>
      <c r="C6" s="108"/>
      <c r="D6" s="108"/>
      <c r="E6" s="6"/>
      <c r="F6" s="6"/>
      <c r="G6" s="100"/>
      <c r="H6" s="100"/>
      <c r="I6" s="100"/>
      <c r="J6" s="29"/>
      <c r="K6" s="29"/>
      <c r="L6" s="29"/>
      <c r="M6" s="29"/>
      <c r="N6" s="29"/>
      <c r="O6" s="30"/>
      <c r="P6" s="30"/>
      <c r="Q6" s="30"/>
      <c r="R6" s="30"/>
      <c r="S6" s="30"/>
      <c r="T6" s="122"/>
      <c r="U6" s="123"/>
      <c r="V6" s="123"/>
      <c r="W6" s="124"/>
      <c r="X6" s="121"/>
      <c r="Y6" s="124">
        <f t="shared" si="0"/>
        <v>0</v>
      </c>
      <c r="Z6" s="124"/>
      <c r="AA6" s="28"/>
      <c r="AB6" s="7">
        <f t="shared" si="1"/>
        <v>0</v>
      </c>
    </row>
    <row r="7" spans="1:28" x14ac:dyDescent="0.25">
      <c r="A7" s="67">
        <v>5</v>
      </c>
      <c r="B7" s="2" t="s">
        <v>480</v>
      </c>
      <c r="C7" s="108"/>
      <c r="D7" s="108"/>
      <c r="E7" s="6">
        <f>20*1*0.6</f>
        <v>12</v>
      </c>
      <c r="F7" s="6">
        <f>10*1*0.6</f>
        <v>6</v>
      </c>
      <c r="G7" s="100">
        <f>50*1*0.6</f>
        <v>30</v>
      </c>
      <c r="H7" s="100"/>
      <c r="I7" s="100"/>
      <c r="J7" s="29"/>
      <c r="K7" s="29"/>
      <c r="L7" s="29"/>
      <c r="M7" s="29"/>
      <c r="N7" s="29"/>
      <c r="O7" s="30"/>
      <c r="P7" s="30"/>
      <c r="Q7" s="30"/>
      <c r="R7" s="30"/>
      <c r="S7" s="30">
        <f>100*1*0.6</f>
        <v>60</v>
      </c>
      <c r="T7" s="122"/>
      <c r="U7" s="123"/>
      <c r="V7" s="123"/>
      <c r="W7" s="124"/>
      <c r="X7" s="121"/>
      <c r="Y7" s="124">
        <f t="shared" si="0"/>
        <v>108</v>
      </c>
      <c r="Z7" s="124"/>
      <c r="AA7" s="28"/>
      <c r="AB7" s="7">
        <f t="shared" si="1"/>
        <v>6.06</v>
      </c>
    </row>
    <row r="8" spans="1:28" x14ac:dyDescent="0.25">
      <c r="A8" s="67">
        <v>6</v>
      </c>
      <c r="B8" s="2" t="s">
        <v>483</v>
      </c>
      <c r="C8" s="108">
        <f>20*1*0.6</f>
        <v>12</v>
      </c>
      <c r="D8" s="108">
        <f>10*1*0.6</f>
        <v>6</v>
      </c>
      <c r="E8" s="6"/>
      <c r="F8" s="6"/>
      <c r="G8" s="100">
        <f>50*1*0.6</f>
        <v>30</v>
      </c>
      <c r="H8" s="100"/>
      <c r="I8" s="100"/>
      <c r="J8" s="29"/>
      <c r="K8" s="29"/>
      <c r="L8" s="29"/>
      <c r="M8" s="29"/>
      <c r="N8" s="29"/>
      <c r="O8" s="30"/>
      <c r="P8" s="30"/>
      <c r="Q8" s="30"/>
      <c r="R8" s="30"/>
      <c r="S8" s="30">
        <f>100*1*0.6</f>
        <v>60</v>
      </c>
      <c r="T8" s="122"/>
      <c r="U8" s="123"/>
      <c r="V8" s="123"/>
      <c r="W8" s="124"/>
      <c r="X8" s="121"/>
      <c r="Y8" s="124">
        <f>SUM(C8:X8)</f>
        <v>108</v>
      </c>
      <c r="Z8" s="124"/>
      <c r="AA8" s="28"/>
      <c r="AB8" s="7">
        <f t="shared" si="1"/>
        <v>6.06</v>
      </c>
    </row>
    <row r="9" spans="1:28" x14ac:dyDescent="0.25">
      <c r="A9" s="67">
        <v>7</v>
      </c>
      <c r="B9" s="2" t="s">
        <v>481</v>
      </c>
      <c r="C9" s="108">
        <f>20*1*0.6</f>
        <v>12</v>
      </c>
      <c r="D9" s="108">
        <f>10*1*0.6</f>
        <v>6</v>
      </c>
      <c r="E9" s="6"/>
      <c r="F9" s="6"/>
      <c r="G9" s="100"/>
      <c r="H9" s="100"/>
      <c r="I9" s="100">
        <f>60*1*0.6</f>
        <v>36</v>
      </c>
      <c r="J9" s="29"/>
      <c r="K9" s="29"/>
      <c r="L9" s="29">
        <f>90*1*0.6</f>
        <v>54</v>
      </c>
      <c r="M9" s="29">
        <f>10*1*0.6</f>
        <v>6</v>
      </c>
      <c r="N9" s="29">
        <f>20*1*0.6</f>
        <v>12</v>
      </c>
      <c r="O9" s="30"/>
      <c r="P9" s="30"/>
      <c r="Q9" s="30"/>
      <c r="R9" s="30"/>
      <c r="S9" s="30">
        <f>100*1*0.6</f>
        <v>60</v>
      </c>
      <c r="T9" s="122"/>
      <c r="U9" s="123"/>
      <c r="V9" s="123"/>
      <c r="W9" s="124"/>
      <c r="X9" s="121"/>
      <c r="Y9" s="124">
        <f t="shared" si="0"/>
        <v>186</v>
      </c>
      <c r="Z9" s="124"/>
      <c r="AA9" s="28"/>
      <c r="AB9" s="7">
        <f t="shared" si="1"/>
        <v>6.6449999999999996</v>
      </c>
    </row>
    <row r="10" spans="1:28" x14ac:dyDescent="0.25">
      <c r="A10" s="67">
        <v>8</v>
      </c>
      <c r="B10" s="2" t="s">
        <v>482</v>
      </c>
      <c r="C10" s="108">
        <f>20*1*0.6</f>
        <v>12</v>
      </c>
      <c r="D10" s="108">
        <f>10*1*0.6</f>
        <v>6</v>
      </c>
      <c r="E10" s="6"/>
      <c r="F10" s="6"/>
      <c r="G10" s="100"/>
      <c r="H10" s="100"/>
      <c r="I10" s="100">
        <f>60*1*0.6</f>
        <v>36</v>
      </c>
      <c r="J10" s="29"/>
      <c r="K10" s="29"/>
      <c r="L10" s="29"/>
      <c r="M10" s="29"/>
      <c r="N10" s="29"/>
      <c r="O10" s="30"/>
      <c r="P10" s="30"/>
      <c r="Q10" s="30"/>
      <c r="R10" s="30"/>
      <c r="S10" s="30">
        <f>100*1*0.6</f>
        <v>60</v>
      </c>
      <c r="T10" s="122"/>
      <c r="U10" s="123"/>
      <c r="V10" s="123"/>
      <c r="W10" s="124"/>
      <c r="X10" s="121"/>
      <c r="Y10" s="124">
        <f t="shared" si="0"/>
        <v>114</v>
      </c>
      <c r="Z10" s="124"/>
      <c r="AA10" s="28"/>
      <c r="AB10" s="7">
        <f t="shared" si="1"/>
        <v>6.1050000000000004</v>
      </c>
    </row>
    <row r="11" spans="1:28" x14ac:dyDescent="0.25">
      <c r="A11" s="67">
        <v>9</v>
      </c>
      <c r="B11" s="2" t="s">
        <v>484</v>
      </c>
      <c r="C11" s="108">
        <f>20*1*1.1</f>
        <v>22</v>
      </c>
      <c r="D11" s="108">
        <f>10*1*1.1</f>
        <v>11</v>
      </c>
      <c r="E11" s="6"/>
      <c r="F11" s="6"/>
      <c r="G11" s="100"/>
      <c r="H11" s="100"/>
      <c r="I11" s="100">
        <f>60*1*1.1</f>
        <v>66</v>
      </c>
      <c r="J11" s="29"/>
      <c r="K11" s="29"/>
      <c r="L11" s="29">
        <f>90*0.85*1.1</f>
        <v>84.15</v>
      </c>
      <c r="M11" s="29">
        <f>10*1*1.1</f>
        <v>11</v>
      </c>
      <c r="N11" s="29"/>
      <c r="O11" s="30"/>
      <c r="P11" s="30"/>
      <c r="Q11" s="30"/>
      <c r="R11" s="30"/>
      <c r="S11" s="30">
        <f>100*0.6*1.1</f>
        <v>66</v>
      </c>
      <c r="T11" s="122"/>
      <c r="U11" s="123"/>
      <c r="V11" s="123"/>
      <c r="W11" s="3"/>
      <c r="X11" s="121"/>
      <c r="Y11" s="124">
        <f t="shared" si="0"/>
        <v>260.14999999999998</v>
      </c>
      <c r="Z11" s="124"/>
      <c r="AA11" s="28"/>
      <c r="AB11" s="7">
        <f t="shared" si="1"/>
        <v>7.2011250000000002</v>
      </c>
    </row>
    <row r="12" spans="1:28" x14ac:dyDescent="0.25">
      <c r="A12" s="67">
        <v>10</v>
      </c>
      <c r="B12" s="2" t="s">
        <v>485</v>
      </c>
      <c r="C12" s="108">
        <f>20*1*1.1</f>
        <v>22</v>
      </c>
      <c r="D12" s="108">
        <f>10*1*1.1</f>
        <v>11</v>
      </c>
      <c r="E12" s="6"/>
      <c r="F12" s="6"/>
      <c r="G12" s="100"/>
      <c r="H12" s="100"/>
      <c r="I12" s="100"/>
      <c r="J12" s="29"/>
      <c r="K12" s="29"/>
      <c r="L12" s="29">
        <f>90*0.4*0.8</f>
        <v>28.8</v>
      </c>
      <c r="M12" s="29"/>
      <c r="N12" s="29"/>
      <c r="O12" s="30"/>
      <c r="P12" s="30"/>
      <c r="Q12" s="30"/>
      <c r="R12" s="30"/>
      <c r="S12" s="30">
        <f>100*(0.7*0.8+0.3*0.6)</f>
        <v>74</v>
      </c>
      <c r="T12" s="122"/>
      <c r="U12" s="123"/>
      <c r="V12" s="123"/>
      <c r="W12" s="3"/>
      <c r="X12" s="121"/>
      <c r="Y12" s="124">
        <f t="shared" si="0"/>
        <v>135.80000000000001</v>
      </c>
      <c r="Z12" s="124"/>
      <c r="AA12" s="28"/>
      <c r="AB12" s="7">
        <f t="shared" si="1"/>
        <v>6.2685000000000004</v>
      </c>
    </row>
    <row r="13" spans="1:28" x14ac:dyDescent="0.25">
      <c r="A13" s="67">
        <v>11</v>
      </c>
      <c r="B13" s="2" t="s">
        <v>486</v>
      </c>
      <c r="C13" s="108">
        <f>20*0.6*0.6</f>
        <v>7.1999999999999993</v>
      </c>
      <c r="D13" s="108"/>
      <c r="E13" s="6"/>
      <c r="F13" s="6"/>
      <c r="G13" s="100"/>
      <c r="H13" s="100"/>
      <c r="I13" s="100">
        <f>60*0.8*0.6</f>
        <v>28.799999999999997</v>
      </c>
      <c r="J13" s="29"/>
      <c r="K13" s="29"/>
      <c r="L13" s="29">
        <f>90*0.5*0.6</f>
        <v>27</v>
      </c>
      <c r="M13" s="29"/>
      <c r="N13" s="29"/>
      <c r="O13" s="30"/>
      <c r="P13" s="30"/>
      <c r="Q13" s="30"/>
      <c r="R13" s="30"/>
      <c r="S13" s="30">
        <f>100*0.85*0.6</f>
        <v>51</v>
      </c>
      <c r="T13" s="122">
        <f>80*0.7*0.6</f>
        <v>33.6</v>
      </c>
      <c r="U13" s="123"/>
      <c r="V13" s="123"/>
      <c r="W13" s="3"/>
      <c r="X13" s="121"/>
      <c r="Y13" s="124">
        <f t="shared" si="0"/>
        <v>147.6</v>
      </c>
      <c r="Z13" s="124"/>
      <c r="AA13" s="28"/>
      <c r="AB13" s="7">
        <f t="shared" si="1"/>
        <v>6.3570000000000002</v>
      </c>
    </row>
    <row r="14" spans="1:28" x14ac:dyDescent="0.25">
      <c r="A14" s="67">
        <v>12</v>
      </c>
      <c r="B14" s="2" t="s">
        <v>487</v>
      </c>
      <c r="C14" s="108"/>
      <c r="D14" s="108"/>
      <c r="E14" s="6"/>
      <c r="F14" s="6"/>
      <c r="G14" s="100"/>
      <c r="H14" s="100"/>
      <c r="I14" s="100"/>
      <c r="J14" s="29"/>
      <c r="K14" s="29"/>
      <c r="L14" s="29"/>
      <c r="M14" s="29"/>
      <c r="N14" s="29"/>
      <c r="O14" s="30"/>
      <c r="P14" s="30"/>
      <c r="Q14" s="30"/>
      <c r="R14" s="30"/>
      <c r="S14" s="30"/>
      <c r="T14" s="122"/>
      <c r="U14" s="123"/>
      <c r="V14" s="123"/>
      <c r="W14" s="3"/>
      <c r="X14" s="121"/>
      <c r="Y14" s="124">
        <f t="shared" si="0"/>
        <v>0</v>
      </c>
      <c r="Z14" s="124"/>
      <c r="AA14" s="28"/>
      <c r="AB14" s="7">
        <f t="shared" si="1"/>
        <v>0</v>
      </c>
    </row>
    <row r="15" spans="1:28" x14ac:dyDescent="0.25">
      <c r="A15" s="67">
        <v>13</v>
      </c>
      <c r="B15" s="2" t="s">
        <v>488</v>
      </c>
      <c r="C15" s="108">
        <f>20*(1*0.8)</f>
        <v>16</v>
      </c>
      <c r="D15" s="108">
        <f>10*1*0.8</f>
        <v>8</v>
      </c>
      <c r="E15" s="6"/>
      <c r="F15" s="6"/>
      <c r="G15" s="100"/>
      <c r="H15" s="100"/>
      <c r="I15" s="100">
        <f>60*1*0.8</f>
        <v>48</v>
      </c>
      <c r="J15" s="29"/>
      <c r="K15" s="29"/>
      <c r="L15" s="29">
        <f>90*1*0.6</f>
        <v>54</v>
      </c>
      <c r="M15" s="29">
        <f>10*1*0.6</f>
        <v>6</v>
      </c>
      <c r="N15" s="29"/>
      <c r="O15" s="30"/>
      <c r="P15" s="30"/>
      <c r="Q15" s="30"/>
      <c r="R15" s="30"/>
      <c r="S15" s="30">
        <f>100*1*0.8</f>
        <v>80</v>
      </c>
      <c r="T15" s="122"/>
      <c r="U15" s="123"/>
      <c r="V15" s="123"/>
      <c r="W15" s="3"/>
      <c r="X15" s="121"/>
      <c r="Y15" s="124">
        <f t="shared" si="0"/>
        <v>212</v>
      </c>
      <c r="Z15" s="124"/>
      <c r="AA15" s="28"/>
      <c r="AB15" s="7">
        <f t="shared" si="1"/>
        <v>6.84</v>
      </c>
    </row>
    <row r="16" spans="1:28" x14ac:dyDescent="0.25">
      <c r="A16" s="67">
        <v>14</v>
      </c>
      <c r="B16" s="2" t="s">
        <v>473</v>
      </c>
      <c r="C16" s="108">
        <f>20*(0.4*1 + 0.6*0.8)</f>
        <v>17.600000000000001</v>
      </c>
      <c r="D16" s="108">
        <f>10*(1*1)</f>
        <v>10</v>
      </c>
      <c r="E16" s="6"/>
      <c r="F16" s="6"/>
      <c r="G16" s="100">
        <f>50*1*0.8</f>
        <v>40</v>
      </c>
      <c r="H16" s="100"/>
      <c r="I16" s="100"/>
      <c r="J16" s="29"/>
      <c r="K16" s="29"/>
      <c r="L16" s="29">
        <f>90*1*0.6</f>
        <v>54</v>
      </c>
      <c r="M16" s="29"/>
      <c r="N16" s="29"/>
      <c r="O16" s="30"/>
      <c r="P16" s="30"/>
      <c r="Q16" s="30"/>
      <c r="R16" s="30"/>
      <c r="S16" s="30">
        <f>80*1*0.6</f>
        <v>48</v>
      </c>
      <c r="T16" s="122"/>
      <c r="U16" s="123"/>
      <c r="V16" s="123"/>
      <c r="W16" s="3"/>
      <c r="X16" s="121"/>
      <c r="Y16" s="124">
        <f t="shared" si="0"/>
        <v>169.6</v>
      </c>
      <c r="Z16" s="124"/>
      <c r="AA16" s="28"/>
      <c r="AB16" s="7">
        <f t="shared" si="1"/>
        <v>6.5220000000000002</v>
      </c>
    </row>
    <row r="17" spans="1:29" x14ac:dyDescent="0.25">
      <c r="A17" s="67">
        <v>15</v>
      </c>
      <c r="B17" s="2" t="s">
        <v>474</v>
      </c>
      <c r="C17" s="108"/>
      <c r="D17" s="108"/>
      <c r="E17" s="6"/>
      <c r="F17" s="6"/>
      <c r="G17" s="100"/>
      <c r="H17" s="100"/>
      <c r="I17" s="100"/>
      <c r="J17" s="29"/>
      <c r="K17" s="29"/>
      <c r="L17" s="29"/>
      <c r="M17" s="29"/>
      <c r="N17" s="29"/>
      <c r="O17" s="30"/>
      <c r="P17" s="30"/>
      <c r="Q17" s="30"/>
      <c r="R17" s="30"/>
      <c r="S17" s="30"/>
      <c r="T17" s="122"/>
      <c r="U17" s="123"/>
      <c r="V17" s="123"/>
      <c r="W17" s="3"/>
      <c r="X17" s="121"/>
      <c r="Y17" s="124">
        <f t="shared" si="0"/>
        <v>0</v>
      </c>
      <c r="Z17" s="124"/>
      <c r="AA17" s="28"/>
      <c r="AB17" s="7">
        <f t="shared" si="1"/>
        <v>0</v>
      </c>
    </row>
    <row r="18" spans="1:29" x14ac:dyDescent="0.25">
      <c r="A18" s="67">
        <v>16</v>
      </c>
      <c r="B18" s="2" t="s">
        <v>489</v>
      </c>
      <c r="C18" s="108">
        <f>20*1*0.6</f>
        <v>12</v>
      </c>
      <c r="D18" s="108">
        <f>10*1*0.6</f>
        <v>6</v>
      </c>
      <c r="E18" s="6"/>
      <c r="F18" s="6"/>
      <c r="G18" s="100"/>
      <c r="H18" s="100"/>
      <c r="I18" s="100"/>
      <c r="J18" s="29"/>
      <c r="K18" s="29"/>
      <c r="L18" s="29">
        <f>90*0.6*0.6</f>
        <v>32.4</v>
      </c>
      <c r="M18" s="29"/>
      <c r="N18" s="29"/>
      <c r="O18" s="30"/>
      <c r="P18" s="30"/>
      <c r="Q18" s="30"/>
      <c r="R18" s="30"/>
      <c r="S18" s="30">
        <f>100*1*0.6</f>
        <v>60</v>
      </c>
      <c r="T18" s="122"/>
      <c r="U18" s="123"/>
      <c r="V18" s="123"/>
      <c r="W18" s="3"/>
      <c r="X18" s="121"/>
      <c r="Y18" s="124">
        <f t="shared" si="0"/>
        <v>110.4</v>
      </c>
      <c r="Z18" s="124"/>
      <c r="AA18" s="28"/>
      <c r="AB18" s="7">
        <f t="shared" si="1"/>
        <v>6.0780000000000003</v>
      </c>
      <c r="AC18" s="38"/>
    </row>
    <row r="19" spans="1:29" x14ac:dyDescent="0.25">
      <c r="A19" s="67">
        <v>17</v>
      </c>
      <c r="B19" s="2" t="s">
        <v>475</v>
      </c>
      <c r="C19" s="108"/>
      <c r="D19" s="108"/>
      <c r="E19" s="6"/>
      <c r="F19" s="6"/>
      <c r="G19" s="100"/>
      <c r="H19" s="100"/>
      <c r="I19" s="100"/>
      <c r="J19" s="29"/>
      <c r="K19" s="29"/>
      <c r="L19" s="29"/>
      <c r="M19" s="29"/>
      <c r="N19" s="29"/>
      <c r="O19" s="30"/>
      <c r="P19" s="30"/>
      <c r="Q19" s="30"/>
      <c r="R19" s="30"/>
      <c r="S19" s="30"/>
      <c r="T19" s="122"/>
      <c r="U19" s="123"/>
      <c r="V19" s="123"/>
      <c r="W19" s="3"/>
      <c r="X19" s="121"/>
      <c r="Y19" s="124">
        <f t="shared" si="0"/>
        <v>0</v>
      </c>
      <c r="Z19" s="124"/>
      <c r="AA19" s="28"/>
      <c r="AB19" s="7">
        <f t="shared" si="1"/>
        <v>0</v>
      </c>
    </row>
    <row r="20" spans="1:29" x14ac:dyDescent="0.25">
      <c r="A20" s="67">
        <v>18</v>
      </c>
      <c r="B20" s="2" t="s">
        <v>490</v>
      </c>
      <c r="C20" s="108"/>
      <c r="D20" s="108"/>
      <c r="E20" s="6"/>
      <c r="F20" s="6"/>
      <c r="G20" s="100"/>
      <c r="H20" s="100"/>
      <c r="I20" s="100"/>
      <c r="J20" s="29"/>
      <c r="K20" s="29"/>
      <c r="L20" s="29"/>
      <c r="M20" s="29"/>
      <c r="N20" s="29"/>
      <c r="O20" s="30"/>
      <c r="P20" s="30"/>
      <c r="Q20" s="30"/>
      <c r="R20" s="30"/>
      <c r="S20" s="30"/>
      <c r="T20" s="122"/>
      <c r="U20" s="123"/>
      <c r="V20" s="123"/>
      <c r="W20" s="3"/>
      <c r="X20" s="121"/>
      <c r="Y20" s="124">
        <f t="shared" si="0"/>
        <v>0</v>
      </c>
      <c r="Z20" s="124"/>
      <c r="AA20" s="28"/>
      <c r="AB20" s="7">
        <f t="shared" si="1"/>
        <v>0</v>
      </c>
    </row>
    <row r="21" spans="1:29" x14ac:dyDescent="0.25">
      <c r="A21" s="67">
        <v>19</v>
      </c>
      <c r="B21" s="2" t="s">
        <v>491</v>
      </c>
      <c r="C21" s="108"/>
      <c r="D21" s="108"/>
      <c r="E21" s="6"/>
      <c r="F21" s="6"/>
      <c r="G21" s="100"/>
      <c r="H21" s="100"/>
      <c r="I21" s="100"/>
      <c r="J21" s="29"/>
      <c r="K21" s="29"/>
      <c r="L21" s="29"/>
      <c r="M21" s="29"/>
      <c r="N21" s="29"/>
      <c r="O21" s="30"/>
      <c r="P21" s="30"/>
      <c r="Q21" s="30"/>
      <c r="R21" s="30"/>
      <c r="S21" s="30"/>
      <c r="T21" s="122"/>
      <c r="U21" s="123"/>
      <c r="V21" s="123"/>
      <c r="W21" s="3"/>
      <c r="X21" s="121"/>
      <c r="Y21" s="124">
        <f t="shared" si="0"/>
        <v>0</v>
      </c>
      <c r="Z21" s="124"/>
      <c r="AA21" s="28"/>
      <c r="AB21" s="7">
        <f t="shared" si="1"/>
        <v>0</v>
      </c>
    </row>
    <row r="22" spans="1:29" x14ac:dyDescent="0.25">
      <c r="A22" s="67">
        <v>20</v>
      </c>
      <c r="B22" s="2" t="s">
        <v>477</v>
      </c>
      <c r="C22" s="108"/>
      <c r="D22" s="108"/>
      <c r="E22" s="6"/>
      <c r="F22" s="6"/>
      <c r="G22" s="100"/>
      <c r="H22" s="100"/>
      <c r="I22" s="100"/>
      <c r="J22" s="29"/>
      <c r="K22" s="29"/>
      <c r="L22" s="29"/>
      <c r="M22" s="29"/>
      <c r="N22" s="29"/>
      <c r="O22" s="30"/>
      <c r="P22" s="30"/>
      <c r="Q22" s="30"/>
      <c r="R22" s="30"/>
      <c r="S22" s="30"/>
      <c r="T22" s="122"/>
      <c r="U22" s="123"/>
      <c r="V22" s="123"/>
      <c r="W22" s="3"/>
      <c r="X22" s="121"/>
      <c r="Y22" s="124">
        <f t="shared" si="0"/>
        <v>0</v>
      </c>
      <c r="Z22" s="124"/>
      <c r="AA22" s="28"/>
      <c r="AB22" s="7">
        <f t="shared" si="1"/>
        <v>0</v>
      </c>
    </row>
    <row r="23" spans="1:29" x14ac:dyDescent="0.25">
      <c r="A23" s="67">
        <v>21</v>
      </c>
      <c r="B23" s="2" t="s">
        <v>492</v>
      </c>
      <c r="C23" s="108">
        <f>20*(0.6*1 + 0.4*0.8)</f>
        <v>18.400000000000002</v>
      </c>
      <c r="D23" s="108">
        <f>10*1*0.8</f>
        <v>8</v>
      </c>
      <c r="E23" s="6"/>
      <c r="F23" s="6"/>
      <c r="G23" s="100"/>
      <c r="H23" s="100"/>
      <c r="I23" s="100">
        <f>60*(0.7*1 + 0.1*0.6)</f>
        <v>45.6</v>
      </c>
      <c r="J23" s="29"/>
      <c r="K23" s="29"/>
      <c r="L23" s="29"/>
      <c r="M23" s="29"/>
      <c r="N23" s="29"/>
      <c r="O23" s="30"/>
      <c r="P23" s="30"/>
      <c r="Q23" s="30"/>
      <c r="R23" s="30"/>
      <c r="S23" s="30">
        <f>100*(0.7*0.8+0.3*0.6)</f>
        <v>74</v>
      </c>
      <c r="T23" s="122"/>
      <c r="U23" s="123"/>
      <c r="V23" s="123"/>
      <c r="W23" s="3"/>
      <c r="X23" s="121"/>
      <c r="Y23" s="124">
        <f t="shared" si="0"/>
        <v>146</v>
      </c>
      <c r="Z23" s="124"/>
      <c r="AA23" s="28"/>
      <c r="AB23" s="7">
        <f t="shared" si="1"/>
        <v>6.3449999999999998</v>
      </c>
    </row>
    <row r="24" spans="1:29" x14ac:dyDescent="0.25">
      <c r="A24" s="67">
        <v>22</v>
      </c>
      <c r="B24" s="2" t="s">
        <v>493</v>
      </c>
      <c r="C24" s="108">
        <f>20*(0.6*1)</f>
        <v>12</v>
      </c>
      <c r="D24" s="108">
        <f>10*1*0.6</f>
        <v>6</v>
      </c>
      <c r="E24" s="6"/>
      <c r="F24" s="6"/>
      <c r="G24" s="100">
        <f>50*1*0.6</f>
        <v>30</v>
      </c>
      <c r="H24" s="100"/>
      <c r="I24" s="100"/>
      <c r="J24" s="29">
        <f>40*1*0.8</f>
        <v>32</v>
      </c>
      <c r="K24" s="29">
        <f>10*1*0.8</f>
        <v>8</v>
      </c>
      <c r="L24" s="29"/>
      <c r="M24" s="29"/>
      <c r="N24" s="29"/>
      <c r="O24" s="30"/>
      <c r="P24" s="30"/>
      <c r="Q24" s="30">
        <f>60*0.7*0.6</f>
        <v>25.2</v>
      </c>
      <c r="R24" s="30"/>
      <c r="S24" s="30"/>
      <c r="T24" s="122"/>
      <c r="U24" s="123"/>
      <c r="V24" s="123"/>
      <c r="W24" s="3"/>
      <c r="X24" s="121"/>
      <c r="Y24" s="124">
        <f t="shared" si="0"/>
        <v>113.2</v>
      </c>
      <c r="Z24" s="124"/>
      <c r="AA24" s="28"/>
      <c r="AB24" s="7">
        <f t="shared" si="1"/>
        <v>6.0990000000000002</v>
      </c>
    </row>
    <row r="25" spans="1:29" x14ac:dyDescent="0.25">
      <c r="A25" s="67">
        <v>23</v>
      </c>
      <c r="B25" s="2" t="s">
        <v>494</v>
      </c>
      <c r="C25" s="108"/>
      <c r="D25" s="108"/>
      <c r="E25" s="6"/>
      <c r="F25" s="6"/>
      <c r="G25" s="100"/>
      <c r="H25" s="100"/>
      <c r="I25" s="100"/>
      <c r="J25" s="29"/>
      <c r="K25" s="29"/>
      <c r="L25" s="29"/>
      <c r="M25" s="29"/>
      <c r="N25" s="29"/>
      <c r="O25" s="30"/>
      <c r="P25" s="30"/>
      <c r="Q25" s="30"/>
      <c r="R25" s="30"/>
      <c r="S25" s="30"/>
      <c r="T25" s="122"/>
      <c r="U25" s="123"/>
      <c r="V25" s="123"/>
      <c r="W25" s="3"/>
      <c r="X25" s="121"/>
      <c r="Y25" s="124">
        <f t="shared" si="0"/>
        <v>0</v>
      </c>
      <c r="Z25" s="124"/>
      <c r="AA25" s="28"/>
      <c r="AB25" s="7">
        <f t="shared" si="1"/>
        <v>0</v>
      </c>
    </row>
    <row r="26" spans="1:29" x14ac:dyDescent="0.25">
      <c r="A26" s="67">
        <v>24</v>
      </c>
      <c r="B26" s="2" t="s">
        <v>476</v>
      </c>
      <c r="C26" s="108"/>
      <c r="D26" s="108"/>
      <c r="E26" s="6"/>
      <c r="F26" s="6"/>
      <c r="G26" s="100"/>
      <c r="H26" s="100"/>
      <c r="I26" s="100"/>
      <c r="J26" s="29"/>
      <c r="K26" s="29"/>
      <c r="L26" s="29"/>
      <c r="M26" s="29"/>
      <c r="N26" s="29"/>
      <c r="O26" s="30"/>
      <c r="P26" s="30"/>
      <c r="Q26" s="30"/>
      <c r="R26" s="30"/>
      <c r="S26" s="30"/>
      <c r="T26" s="122"/>
      <c r="U26" s="123"/>
      <c r="V26" s="123"/>
      <c r="W26" s="3"/>
      <c r="X26" s="121"/>
      <c r="Y26" s="124">
        <f t="shared" si="0"/>
        <v>0</v>
      </c>
      <c r="Z26" s="124"/>
      <c r="AA26" s="28"/>
      <c r="AB26" s="7">
        <f t="shared" si="1"/>
        <v>0</v>
      </c>
    </row>
    <row r="27" spans="1:29" x14ac:dyDescent="0.25">
      <c r="A27" s="67">
        <v>25</v>
      </c>
      <c r="B27" s="2" t="s">
        <v>495</v>
      </c>
      <c r="C27" s="108">
        <f>20*(0.2*1 + 0.4*0.8)</f>
        <v>10.4</v>
      </c>
      <c r="D27" s="108">
        <f>10*1*0.8</f>
        <v>8</v>
      </c>
      <c r="E27" s="6"/>
      <c r="F27" s="6"/>
      <c r="G27" s="100"/>
      <c r="H27" s="100"/>
      <c r="I27" s="100">
        <f>60*0.6*0.8</f>
        <v>28.8</v>
      </c>
      <c r="J27" s="29"/>
      <c r="K27" s="29"/>
      <c r="L27" s="29"/>
      <c r="M27" s="29"/>
      <c r="N27" s="29"/>
      <c r="O27" s="30"/>
      <c r="P27" s="30"/>
      <c r="Q27" s="30"/>
      <c r="R27" s="30"/>
      <c r="S27" s="30">
        <f>100*0.75*0.6</f>
        <v>45</v>
      </c>
      <c r="T27" s="122"/>
      <c r="U27" s="123"/>
      <c r="V27" s="123"/>
      <c r="W27" s="3"/>
      <c r="X27" s="121"/>
      <c r="Y27" s="124">
        <f t="shared" si="0"/>
        <v>92.2</v>
      </c>
      <c r="Z27" s="124"/>
      <c r="AA27" s="28"/>
      <c r="AB27" s="7">
        <f t="shared" si="1"/>
        <v>5.532</v>
      </c>
    </row>
    <row r="28" spans="1:29" x14ac:dyDescent="0.25">
      <c r="A28" s="67">
        <v>26</v>
      </c>
      <c r="B28" s="2" t="s">
        <v>496</v>
      </c>
      <c r="C28" s="108">
        <f>20*1*0.8</f>
        <v>16</v>
      </c>
      <c r="D28" s="108">
        <f>10*1*0.8</f>
        <v>8</v>
      </c>
      <c r="E28" s="6"/>
      <c r="F28" s="6"/>
      <c r="G28" s="100"/>
      <c r="H28" s="100"/>
      <c r="I28" s="100">
        <f>60*1*0.8</f>
        <v>48</v>
      </c>
      <c r="J28" s="29"/>
      <c r="K28" s="29"/>
      <c r="L28" s="29"/>
      <c r="M28" s="29"/>
      <c r="N28" s="29"/>
      <c r="O28" s="30"/>
      <c r="P28" s="30"/>
      <c r="Q28" s="30"/>
      <c r="R28" s="30"/>
      <c r="S28" s="30">
        <f>100*1*0.6</f>
        <v>60</v>
      </c>
      <c r="T28" s="122"/>
      <c r="U28" s="123"/>
      <c r="V28" s="123"/>
      <c r="W28" s="3"/>
      <c r="X28" s="121"/>
      <c r="Y28" s="124">
        <f t="shared" si="0"/>
        <v>132</v>
      </c>
      <c r="Z28" s="124"/>
      <c r="AA28" s="28"/>
      <c r="AB28" s="7">
        <f t="shared" si="1"/>
        <v>6.24</v>
      </c>
    </row>
    <row r="29" spans="1:29" x14ac:dyDescent="0.25">
      <c r="A29" s="67">
        <v>27</v>
      </c>
      <c r="B29" s="2" t="s">
        <v>472</v>
      </c>
      <c r="C29" s="108">
        <v>20</v>
      </c>
      <c r="D29" s="108">
        <v>10</v>
      </c>
      <c r="E29" s="6"/>
      <c r="F29" s="6">
        <f>30*0.85</f>
        <v>25.5</v>
      </c>
      <c r="G29" s="100"/>
      <c r="H29" s="100"/>
      <c r="I29" s="100"/>
      <c r="J29" s="29">
        <f>40</f>
        <v>40</v>
      </c>
      <c r="K29" s="29">
        <f>10</f>
        <v>10</v>
      </c>
      <c r="L29" s="29">
        <f>90*0.8*1</f>
        <v>72</v>
      </c>
      <c r="M29" s="29">
        <f>10*1*1</f>
        <v>10</v>
      </c>
      <c r="N29" s="29"/>
      <c r="O29" s="30"/>
      <c r="P29" s="30"/>
      <c r="Q29" s="30">
        <f>60</f>
        <v>60</v>
      </c>
      <c r="R29" s="30">
        <f>10</f>
        <v>10</v>
      </c>
      <c r="S29" s="30">
        <f>100</f>
        <v>100</v>
      </c>
      <c r="T29" s="122">
        <f>80*0.7*1</f>
        <v>56</v>
      </c>
      <c r="U29" s="123"/>
      <c r="V29" s="123"/>
      <c r="W29" s="3"/>
      <c r="X29" s="121"/>
      <c r="Y29" s="124">
        <f t="shared" si="0"/>
        <v>413.5</v>
      </c>
      <c r="Z29" s="124"/>
      <c r="AA29" s="28"/>
      <c r="AB29" s="7">
        <f t="shared" si="1"/>
        <v>8.3512500000000003</v>
      </c>
    </row>
    <row r="30" spans="1:29" x14ac:dyDescent="0.25">
      <c r="A30" s="67">
        <v>28</v>
      </c>
      <c r="B30" s="2" t="s">
        <v>497</v>
      </c>
      <c r="C30" s="108">
        <f>20*1*0.6</f>
        <v>12</v>
      </c>
      <c r="D30" s="108">
        <f>10*1*0.6</f>
        <v>6</v>
      </c>
      <c r="E30" s="6"/>
      <c r="F30" s="6"/>
      <c r="G30" s="100">
        <f>50*0.7*0.8</f>
        <v>28</v>
      </c>
      <c r="H30" s="100"/>
      <c r="I30" s="100"/>
      <c r="J30" s="29"/>
      <c r="K30" s="29"/>
      <c r="L30" s="29"/>
      <c r="M30" s="29"/>
      <c r="N30" s="29"/>
      <c r="O30" s="30"/>
      <c r="P30" s="30"/>
      <c r="Q30" s="30"/>
      <c r="R30" s="30"/>
      <c r="S30" s="30">
        <f>100*1*0.6</f>
        <v>60</v>
      </c>
      <c r="T30" s="122"/>
      <c r="U30" s="123"/>
      <c r="V30" s="123"/>
      <c r="W30" s="3"/>
      <c r="X30" s="121"/>
      <c r="Y30" s="124">
        <f t="shared" si="0"/>
        <v>106</v>
      </c>
      <c r="Z30" s="124"/>
      <c r="AA30" s="28"/>
      <c r="AB30" s="7">
        <f t="shared" si="1"/>
        <v>6.0449999999999999</v>
      </c>
    </row>
    <row r="31" spans="1:29" x14ac:dyDescent="0.25">
      <c r="A31" s="67">
        <v>29</v>
      </c>
      <c r="B31" s="124"/>
      <c r="C31" s="108"/>
      <c r="D31" s="108"/>
      <c r="E31" s="6"/>
      <c r="F31" s="6"/>
      <c r="G31" s="100"/>
      <c r="H31" s="100"/>
      <c r="I31" s="100"/>
      <c r="J31" s="29"/>
      <c r="K31" s="29"/>
      <c r="L31" s="29"/>
      <c r="M31" s="29"/>
      <c r="N31" s="29"/>
      <c r="O31" s="30"/>
      <c r="P31" s="30"/>
      <c r="Q31" s="30"/>
      <c r="R31" s="30"/>
      <c r="S31" s="30"/>
      <c r="T31" s="122"/>
      <c r="U31" s="123"/>
      <c r="V31" s="123"/>
      <c r="W31" s="3"/>
      <c r="X31" s="121"/>
      <c r="Y31" s="124">
        <f t="shared" si="0"/>
        <v>0</v>
      </c>
      <c r="Z31" s="124"/>
      <c r="AA31" s="28"/>
      <c r="AB31" s="7">
        <f t="shared" si="1"/>
        <v>0</v>
      </c>
    </row>
    <row r="32" spans="1:29" x14ac:dyDescent="0.25">
      <c r="A32" s="67">
        <v>30</v>
      </c>
      <c r="B32" s="124"/>
      <c r="C32" s="108"/>
      <c r="D32" s="108"/>
      <c r="E32" s="6"/>
      <c r="F32" s="6"/>
      <c r="G32" s="100"/>
      <c r="H32" s="100"/>
      <c r="I32" s="100"/>
      <c r="J32" s="29"/>
      <c r="K32" s="29"/>
      <c r="L32" s="29"/>
      <c r="M32" s="29"/>
      <c r="N32" s="29"/>
      <c r="O32" s="30"/>
      <c r="P32" s="30"/>
      <c r="Q32" s="30"/>
      <c r="R32" s="30"/>
      <c r="S32" s="30"/>
      <c r="T32" s="122"/>
      <c r="U32" s="123"/>
      <c r="V32" s="123"/>
      <c r="W32" s="3"/>
      <c r="X32" s="121"/>
      <c r="Y32" s="124">
        <f t="shared" si="0"/>
        <v>0</v>
      </c>
      <c r="Z32" s="124"/>
      <c r="AA32" s="28"/>
      <c r="AB32" s="7">
        <f t="shared" si="1"/>
        <v>0</v>
      </c>
    </row>
    <row r="33" spans="1:28" x14ac:dyDescent="0.25">
      <c r="A33" s="67"/>
      <c r="B33" s="65" t="s">
        <v>124</v>
      </c>
      <c r="C33" s="10" t="s">
        <v>67</v>
      </c>
      <c r="D33" s="65" t="s">
        <v>222</v>
      </c>
      <c r="E33" s="65" t="s">
        <v>346</v>
      </c>
      <c r="F33" s="65" t="s">
        <v>347</v>
      </c>
      <c r="G33" s="65" t="s">
        <v>348</v>
      </c>
      <c r="H33" s="65" t="s">
        <v>349</v>
      </c>
      <c r="I33" s="65" t="s">
        <v>350</v>
      </c>
      <c r="J33" s="65" t="s">
        <v>351</v>
      </c>
      <c r="K33" s="65" t="s">
        <v>352</v>
      </c>
      <c r="L33" s="65" t="s">
        <v>353</v>
      </c>
      <c r="M33" s="65" t="s">
        <v>354</v>
      </c>
      <c r="N33" s="65" t="s">
        <v>406</v>
      </c>
      <c r="O33" s="65" t="s">
        <v>355</v>
      </c>
      <c r="P33" s="65" t="s">
        <v>356</v>
      </c>
      <c r="Q33" s="65" t="s">
        <v>357</v>
      </c>
      <c r="R33" s="65" t="s">
        <v>358</v>
      </c>
      <c r="S33" s="65" t="s">
        <v>359</v>
      </c>
      <c r="T33" s="65" t="s">
        <v>542</v>
      </c>
      <c r="U33" s="65" t="s">
        <v>360</v>
      </c>
      <c r="V33" s="65" t="s">
        <v>341</v>
      </c>
      <c r="W33" s="10" t="s">
        <v>1</v>
      </c>
      <c r="X33" s="65" t="s">
        <v>340</v>
      </c>
      <c r="Y33" s="10" t="s">
        <v>0</v>
      </c>
      <c r="Z33" s="10" t="s">
        <v>1</v>
      </c>
      <c r="AA33" s="10" t="s">
        <v>47</v>
      </c>
      <c r="AB33" s="10" t="s">
        <v>12</v>
      </c>
    </row>
    <row r="34" spans="1:28" x14ac:dyDescent="0.25">
      <c r="A34" s="67">
        <v>1</v>
      </c>
      <c r="B34" s="2" t="s">
        <v>422</v>
      </c>
      <c r="C34" s="108"/>
      <c r="D34" s="108"/>
      <c r="E34" s="6"/>
      <c r="F34" s="6"/>
      <c r="G34" s="6"/>
      <c r="H34" s="6"/>
      <c r="I34" s="6"/>
      <c r="J34" s="29"/>
      <c r="K34" s="29"/>
      <c r="L34" s="29">
        <f>90*0.65*0.6</f>
        <v>35.1</v>
      </c>
      <c r="M34" s="29">
        <f>10*0.5*0.6</f>
        <v>3</v>
      </c>
      <c r="N34" s="29">
        <f>20*0.5*0.6</f>
        <v>6</v>
      </c>
      <c r="O34" s="30"/>
      <c r="P34" s="30"/>
      <c r="Q34" s="30"/>
      <c r="R34" s="30"/>
      <c r="S34" s="30"/>
      <c r="T34" s="122"/>
      <c r="U34" s="123"/>
      <c r="V34" s="123"/>
      <c r="W34" s="3"/>
      <c r="X34" s="121"/>
      <c r="Y34" s="3">
        <f>SUM(C34:X34)</f>
        <v>44.1</v>
      </c>
      <c r="Z34" s="3"/>
      <c r="AA34" s="28"/>
      <c r="AB34" s="7">
        <f>NormalizeResult($C$71,$D$71,$C$70,$D$70,$C$69,$D$69,Y34)+Z34+IF(AA34&gt;$AA$64,AA34*$Z$65,0)</f>
        <v>2.6459999999999999</v>
      </c>
    </row>
    <row r="35" spans="1:28" x14ac:dyDescent="0.25">
      <c r="A35" s="67">
        <v>2</v>
      </c>
      <c r="B35" s="2" t="s">
        <v>423</v>
      </c>
      <c r="C35" s="108"/>
      <c r="D35" s="108"/>
      <c r="E35" s="6"/>
      <c r="F35" s="6"/>
      <c r="G35" s="6"/>
      <c r="H35" s="6"/>
      <c r="I35" s="6"/>
      <c r="J35" s="29"/>
      <c r="K35" s="29"/>
      <c r="L35" s="29"/>
      <c r="M35" s="29"/>
      <c r="N35" s="29"/>
      <c r="O35" s="30"/>
      <c r="P35" s="30"/>
      <c r="Q35" s="30"/>
      <c r="R35" s="30"/>
      <c r="S35" s="30"/>
      <c r="T35" s="122"/>
      <c r="U35" s="123"/>
      <c r="V35" s="123"/>
      <c r="W35" s="124"/>
      <c r="X35" s="121"/>
      <c r="Y35" s="124">
        <f t="shared" ref="Y35:Y63" si="2">SUM(C35:X35)</f>
        <v>0</v>
      </c>
      <c r="Z35" s="124"/>
      <c r="AA35" s="28"/>
      <c r="AB35" s="7">
        <f t="shared" ref="AB35:AB63" si="3">NormalizeResult($C$71,$D$71,$C$70,$D$70,$C$69,$D$69,Y35)+Z35+IF(AA35&gt;$AA$64,AA35*$Z$65,0)</f>
        <v>0</v>
      </c>
    </row>
    <row r="36" spans="1:28" x14ac:dyDescent="0.25">
      <c r="A36" s="67">
        <v>3</v>
      </c>
      <c r="B36" s="2" t="s">
        <v>424</v>
      </c>
      <c r="C36" s="108"/>
      <c r="D36" s="108"/>
      <c r="E36" s="6"/>
      <c r="F36" s="6"/>
      <c r="G36" s="6"/>
      <c r="H36" s="6"/>
      <c r="I36" s="6"/>
      <c r="J36" s="29"/>
      <c r="K36" s="29"/>
      <c r="L36" s="29"/>
      <c r="M36" s="29"/>
      <c r="N36" s="29"/>
      <c r="O36" s="30"/>
      <c r="P36" s="30"/>
      <c r="Q36" s="30"/>
      <c r="R36" s="30"/>
      <c r="S36" s="30"/>
      <c r="T36" s="122"/>
      <c r="U36" s="123"/>
      <c r="V36" s="123"/>
      <c r="W36" s="124"/>
      <c r="X36" s="121"/>
      <c r="Y36" s="124">
        <f t="shared" si="2"/>
        <v>0</v>
      </c>
      <c r="Z36" s="124"/>
      <c r="AA36" s="28"/>
      <c r="AB36" s="7">
        <f t="shared" si="3"/>
        <v>0</v>
      </c>
    </row>
    <row r="37" spans="1:28" x14ac:dyDescent="0.25">
      <c r="A37" s="67">
        <v>4</v>
      </c>
      <c r="B37" s="2" t="s">
        <v>425</v>
      </c>
      <c r="C37" s="108"/>
      <c r="D37" s="108"/>
      <c r="E37" s="6"/>
      <c r="F37" s="6"/>
      <c r="G37" s="6"/>
      <c r="H37" s="6"/>
      <c r="I37" s="6"/>
      <c r="J37" s="29"/>
      <c r="K37" s="29"/>
      <c r="L37" s="29"/>
      <c r="M37" s="29"/>
      <c r="N37" s="29"/>
      <c r="O37" s="30"/>
      <c r="P37" s="30"/>
      <c r="Q37" s="30"/>
      <c r="R37" s="30"/>
      <c r="S37" s="30"/>
      <c r="T37" s="122"/>
      <c r="U37" s="123"/>
      <c r="V37" s="123"/>
      <c r="W37" s="124"/>
      <c r="X37" s="121"/>
      <c r="Y37" s="124">
        <f t="shared" si="2"/>
        <v>0</v>
      </c>
      <c r="Z37" s="124"/>
      <c r="AA37" s="28"/>
      <c r="AB37" s="7">
        <f t="shared" si="3"/>
        <v>0</v>
      </c>
    </row>
    <row r="38" spans="1:28" x14ac:dyDescent="0.25">
      <c r="A38" s="67">
        <v>5</v>
      </c>
      <c r="B38" s="2" t="s">
        <v>426</v>
      </c>
      <c r="C38" s="108"/>
      <c r="D38" s="108"/>
      <c r="E38" s="6"/>
      <c r="F38" s="6"/>
      <c r="G38" s="6"/>
      <c r="H38" s="6"/>
      <c r="I38" s="6"/>
      <c r="J38" s="29"/>
      <c r="K38" s="29"/>
      <c r="L38" s="29"/>
      <c r="M38" s="29"/>
      <c r="N38" s="29"/>
      <c r="O38" s="30"/>
      <c r="P38" s="30"/>
      <c r="Q38" s="30"/>
      <c r="R38" s="30"/>
      <c r="S38" s="30"/>
      <c r="T38" s="122"/>
      <c r="U38" s="123"/>
      <c r="V38" s="123"/>
      <c r="W38" s="124"/>
      <c r="X38" s="121"/>
      <c r="Y38" s="124">
        <f t="shared" si="2"/>
        <v>0</v>
      </c>
      <c r="Z38" s="124"/>
      <c r="AA38" s="28"/>
      <c r="AB38" s="7">
        <f t="shared" si="3"/>
        <v>0</v>
      </c>
    </row>
    <row r="39" spans="1:28" x14ac:dyDescent="0.25">
      <c r="A39" s="67">
        <v>6</v>
      </c>
      <c r="B39" s="2" t="s">
        <v>427</v>
      </c>
      <c r="C39" s="108"/>
      <c r="D39" s="108"/>
      <c r="E39" s="6"/>
      <c r="F39" s="6"/>
      <c r="G39" s="6"/>
      <c r="H39" s="6">
        <f>40*(1)*1.1</f>
        <v>44</v>
      </c>
      <c r="I39" s="6"/>
      <c r="J39" s="29">
        <f>40*1*1.1</f>
        <v>44</v>
      </c>
      <c r="K39" s="29">
        <f>10*1*1.1</f>
        <v>11</v>
      </c>
      <c r="L39" s="29"/>
      <c r="M39" s="29"/>
      <c r="N39" s="29"/>
      <c r="O39" s="30"/>
      <c r="P39" s="30"/>
      <c r="Q39" s="30"/>
      <c r="R39" s="30"/>
      <c r="S39" s="30"/>
      <c r="T39" s="122">
        <f>80*1*0.8</f>
        <v>64</v>
      </c>
      <c r="U39" s="123"/>
      <c r="V39" s="123"/>
      <c r="W39" s="124"/>
      <c r="X39" s="121"/>
      <c r="Y39" s="124">
        <f t="shared" si="2"/>
        <v>163</v>
      </c>
      <c r="Z39" s="124"/>
      <c r="AA39" s="28"/>
      <c r="AB39" s="7">
        <f t="shared" si="3"/>
        <v>6.4725000000000001</v>
      </c>
    </row>
    <row r="40" spans="1:28" x14ac:dyDescent="0.25">
      <c r="A40" s="67">
        <v>7</v>
      </c>
      <c r="B40" s="2" t="s">
        <v>428</v>
      </c>
      <c r="C40" s="108"/>
      <c r="D40" s="108"/>
      <c r="E40" s="6"/>
      <c r="F40" s="6"/>
      <c r="G40" s="6"/>
      <c r="H40" s="6"/>
      <c r="I40" s="6"/>
      <c r="J40" s="29"/>
      <c r="K40" s="29"/>
      <c r="L40" s="29"/>
      <c r="M40" s="29"/>
      <c r="N40" s="29"/>
      <c r="O40" s="30"/>
      <c r="P40" s="30"/>
      <c r="Q40" s="30"/>
      <c r="R40" s="30"/>
      <c r="S40" s="30"/>
      <c r="T40" s="122"/>
      <c r="U40" s="123"/>
      <c r="V40" s="123"/>
      <c r="W40" s="124"/>
      <c r="X40" s="121"/>
      <c r="Y40" s="124">
        <f t="shared" si="2"/>
        <v>0</v>
      </c>
      <c r="Z40" s="124"/>
      <c r="AA40" s="28"/>
      <c r="AB40" s="7">
        <f t="shared" si="3"/>
        <v>0</v>
      </c>
    </row>
    <row r="41" spans="1:28" x14ac:dyDescent="0.25">
      <c r="A41" s="67">
        <v>8</v>
      </c>
      <c r="B41" s="2" t="s">
        <v>429</v>
      </c>
      <c r="C41" s="108"/>
      <c r="D41" s="108"/>
      <c r="E41" s="6"/>
      <c r="F41" s="6"/>
      <c r="G41" s="6"/>
      <c r="H41" s="6"/>
      <c r="I41" s="6"/>
      <c r="J41" s="29"/>
      <c r="K41" s="29"/>
      <c r="L41" s="29"/>
      <c r="M41" s="29"/>
      <c r="N41" s="29"/>
      <c r="O41" s="30"/>
      <c r="P41" s="30"/>
      <c r="Q41" s="30"/>
      <c r="R41" s="30"/>
      <c r="S41" s="30"/>
      <c r="T41" s="122"/>
      <c r="U41" s="123"/>
      <c r="V41" s="123"/>
      <c r="W41" s="124"/>
      <c r="X41" s="121"/>
      <c r="Y41" s="124">
        <f t="shared" si="2"/>
        <v>0</v>
      </c>
      <c r="Z41" s="124"/>
      <c r="AA41" s="28"/>
      <c r="AB41" s="7">
        <f t="shared" si="3"/>
        <v>0</v>
      </c>
    </row>
    <row r="42" spans="1:28" x14ac:dyDescent="0.25">
      <c r="A42" s="67">
        <v>9</v>
      </c>
      <c r="B42" s="2" t="s">
        <v>430</v>
      </c>
      <c r="C42" s="108"/>
      <c r="D42" s="108"/>
      <c r="E42" s="6"/>
      <c r="F42" s="6"/>
      <c r="G42" s="6"/>
      <c r="H42" s="6"/>
      <c r="I42" s="6"/>
      <c r="J42" s="29"/>
      <c r="K42" s="29"/>
      <c r="L42" s="29"/>
      <c r="M42" s="29"/>
      <c r="N42" s="29"/>
      <c r="O42" s="30"/>
      <c r="P42" s="30"/>
      <c r="Q42" s="30"/>
      <c r="R42" s="30"/>
      <c r="S42" s="30"/>
      <c r="T42" s="122"/>
      <c r="U42" s="123"/>
      <c r="V42" s="123"/>
      <c r="W42" s="124"/>
      <c r="X42" s="121"/>
      <c r="Y42" s="124">
        <f t="shared" si="2"/>
        <v>0</v>
      </c>
      <c r="Z42" s="124"/>
      <c r="AA42" s="28"/>
      <c r="AB42" s="7">
        <f t="shared" si="3"/>
        <v>0</v>
      </c>
    </row>
    <row r="43" spans="1:28" x14ac:dyDescent="0.25">
      <c r="A43" s="67">
        <v>10</v>
      </c>
      <c r="B43" s="2" t="s">
        <v>431</v>
      </c>
      <c r="C43" s="108">
        <f>20*1*0.6</f>
        <v>12</v>
      </c>
      <c r="D43" s="108">
        <f>10*1*0.6</f>
        <v>6</v>
      </c>
      <c r="E43" s="6"/>
      <c r="F43" s="6"/>
      <c r="G43" s="6"/>
      <c r="H43" s="6">
        <f>40*1*0.6</f>
        <v>24</v>
      </c>
      <c r="I43" s="6"/>
      <c r="J43" s="29">
        <f>40*0.9*0.6</f>
        <v>21.599999999999998</v>
      </c>
      <c r="K43" s="29"/>
      <c r="L43" s="29"/>
      <c r="M43" s="29"/>
      <c r="N43" s="29"/>
      <c r="O43" s="30"/>
      <c r="P43" s="30"/>
      <c r="Q43" s="30">
        <f>60*1*0.6</f>
        <v>36</v>
      </c>
      <c r="R43" s="30">
        <f>10*1*0.6</f>
        <v>6</v>
      </c>
      <c r="S43" s="30"/>
      <c r="T43" s="122"/>
      <c r="U43" s="123"/>
      <c r="V43" s="123"/>
      <c r="W43" s="124"/>
      <c r="X43" s="121"/>
      <c r="Y43" s="124">
        <f t="shared" si="2"/>
        <v>105.6</v>
      </c>
      <c r="Z43" s="124"/>
      <c r="AA43" s="28"/>
      <c r="AB43" s="7">
        <f t="shared" si="3"/>
        <v>6.0419999999999998</v>
      </c>
    </row>
    <row r="44" spans="1:28" x14ac:dyDescent="0.25">
      <c r="A44" s="67">
        <v>11</v>
      </c>
      <c r="B44" s="2" t="s">
        <v>432</v>
      </c>
      <c r="C44" s="108"/>
      <c r="D44" s="108"/>
      <c r="E44" s="6"/>
      <c r="F44" s="6"/>
      <c r="G44" s="6"/>
      <c r="H44" s="6"/>
      <c r="I44" s="6"/>
      <c r="J44" s="29"/>
      <c r="K44" s="29"/>
      <c r="L44" s="29"/>
      <c r="M44" s="29"/>
      <c r="N44" s="29"/>
      <c r="O44" s="30"/>
      <c r="P44" s="30"/>
      <c r="Q44" s="30"/>
      <c r="R44" s="30"/>
      <c r="S44" s="30"/>
      <c r="T44" s="122"/>
      <c r="U44" s="123"/>
      <c r="V44" s="123"/>
      <c r="W44" s="124"/>
      <c r="X44" s="121"/>
      <c r="Y44" s="124">
        <f t="shared" si="2"/>
        <v>0</v>
      </c>
      <c r="Z44" s="124"/>
      <c r="AA44" s="28"/>
      <c r="AB44" s="7">
        <f t="shared" si="3"/>
        <v>0</v>
      </c>
    </row>
    <row r="45" spans="1:28" x14ac:dyDescent="0.25">
      <c r="A45" s="67">
        <v>12</v>
      </c>
      <c r="B45" s="2" t="s">
        <v>433</v>
      </c>
      <c r="C45" s="108"/>
      <c r="D45" s="108"/>
      <c r="E45" s="6"/>
      <c r="F45" s="6"/>
      <c r="G45" s="6"/>
      <c r="H45" s="6"/>
      <c r="I45" s="6"/>
      <c r="J45" s="29"/>
      <c r="K45" s="29"/>
      <c r="L45" s="29"/>
      <c r="M45" s="29"/>
      <c r="N45" s="29"/>
      <c r="O45" s="30"/>
      <c r="P45" s="30"/>
      <c r="Q45" s="30"/>
      <c r="R45" s="30"/>
      <c r="S45" s="30"/>
      <c r="T45" s="122"/>
      <c r="U45" s="123"/>
      <c r="V45" s="123"/>
      <c r="W45" s="124"/>
      <c r="X45" s="121"/>
      <c r="Y45" s="124">
        <f t="shared" si="2"/>
        <v>0</v>
      </c>
      <c r="Z45" s="124"/>
      <c r="AA45" s="28"/>
      <c r="AB45" s="7">
        <f t="shared" si="3"/>
        <v>0</v>
      </c>
    </row>
    <row r="46" spans="1:28" x14ac:dyDescent="0.25">
      <c r="A46" s="67">
        <v>13</v>
      </c>
      <c r="B46" s="2" t="s">
        <v>434</v>
      </c>
      <c r="C46" s="108"/>
      <c r="D46" s="108"/>
      <c r="E46" s="6"/>
      <c r="F46" s="6"/>
      <c r="G46" s="6"/>
      <c r="H46" s="6"/>
      <c r="I46" s="6"/>
      <c r="J46" s="29"/>
      <c r="K46" s="29"/>
      <c r="L46" s="29"/>
      <c r="M46" s="29"/>
      <c r="N46" s="29"/>
      <c r="O46" s="30"/>
      <c r="P46" s="30"/>
      <c r="Q46" s="30"/>
      <c r="R46" s="30"/>
      <c r="S46" s="30"/>
      <c r="T46" s="122"/>
      <c r="U46" s="123"/>
      <c r="V46" s="123"/>
      <c r="W46" s="124"/>
      <c r="X46" s="121"/>
      <c r="Y46" s="124">
        <f t="shared" si="2"/>
        <v>0</v>
      </c>
      <c r="Z46" s="124"/>
      <c r="AA46" s="28"/>
      <c r="AB46" s="7">
        <f t="shared" si="3"/>
        <v>0</v>
      </c>
    </row>
    <row r="47" spans="1:28" x14ac:dyDescent="0.25">
      <c r="A47" s="67">
        <v>14</v>
      </c>
      <c r="B47" s="2" t="s">
        <v>435</v>
      </c>
      <c r="C47" s="108"/>
      <c r="D47" s="108"/>
      <c r="E47" s="6"/>
      <c r="F47" s="6"/>
      <c r="G47" s="6"/>
      <c r="H47" s="6"/>
      <c r="I47" s="6"/>
      <c r="J47" s="29"/>
      <c r="K47" s="29"/>
      <c r="L47" s="29"/>
      <c r="M47" s="29"/>
      <c r="N47" s="29"/>
      <c r="O47" s="30"/>
      <c r="P47" s="30"/>
      <c r="Q47" s="30"/>
      <c r="R47" s="30"/>
      <c r="S47" s="30"/>
      <c r="T47" s="122"/>
      <c r="U47" s="123"/>
      <c r="V47" s="123"/>
      <c r="W47" s="124"/>
      <c r="X47" s="121"/>
      <c r="Y47" s="124">
        <f t="shared" si="2"/>
        <v>0</v>
      </c>
      <c r="Z47" s="124"/>
      <c r="AA47" s="28"/>
      <c r="AB47" s="7">
        <f t="shared" si="3"/>
        <v>0</v>
      </c>
    </row>
    <row r="48" spans="1:28" x14ac:dyDescent="0.25">
      <c r="A48" s="67">
        <v>15</v>
      </c>
      <c r="B48" s="2" t="s">
        <v>436</v>
      </c>
      <c r="C48" s="108">
        <f>20*1*0.6</f>
        <v>12</v>
      </c>
      <c r="D48" s="108">
        <f>10*1*0.6</f>
        <v>6</v>
      </c>
      <c r="E48" s="6"/>
      <c r="F48" s="6"/>
      <c r="G48" s="6"/>
      <c r="H48" s="6"/>
      <c r="I48" s="6">
        <f>60*1*0.6</f>
        <v>36</v>
      </c>
      <c r="J48" s="29">
        <f>40*1*0.6</f>
        <v>24</v>
      </c>
      <c r="K48" s="29">
        <f>10*1*0.6</f>
        <v>6</v>
      </c>
      <c r="L48" s="29"/>
      <c r="M48" s="29"/>
      <c r="N48" s="29"/>
      <c r="O48" s="30">
        <f>30*1*0.6</f>
        <v>18</v>
      </c>
      <c r="P48" s="30"/>
      <c r="Q48" s="30"/>
      <c r="R48" s="30"/>
      <c r="S48" s="30"/>
      <c r="T48" s="122"/>
      <c r="U48" s="123"/>
      <c r="V48" s="123"/>
      <c r="W48" s="124"/>
      <c r="X48" s="121"/>
      <c r="Y48" s="124">
        <f t="shared" si="2"/>
        <v>102</v>
      </c>
      <c r="Z48" s="124"/>
      <c r="AA48" s="28"/>
      <c r="AB48" s="7">
        <f t="shared" si="3"/>
        <v>6.0149999999999997</v>
      </c>
    </row>
    <row r="49" spans="1:28" x14ac:dyDescent="0.25">
      <c r="A49" s="67">
        <v>16</v>
      </c>
      <c r="B49" s="2" t="s">
        <v>437</v>
      </c>
      <c r="C49" s="108"/>
      <c r="D49" s="108"/>
      <c r="E49" s="6"/>
      <c r="F49" s="6"/>
      <c r="G49" s="6"/>
      <c r="H49" s="6"/>
      <c r="I49" s="6"/>
      <c r="J49" s="29"/>
      <c r="K49" s="29"/>
      <c r="L49" s="29"/>
      <c r="M49" s="29"/>
      <c r="N49" s="29"/>
      <c r="O49" s="30"/>
      <c r="P49" s="30"/>
      <c r="Q49" s="30"/>
      <c r="R49" s="30"/>
      <c r="S49" s="30"/>
      <c r="T49" s="122"/>
      <c r="U49" s="123"/>
      <c r="V49" s="123"/>
      <c r="W49" s="3"/>
      <c r="X49" s="121"/>
      <c r="Y49" s="124">
        <f t="shared" si="2"/>
        <v>0</v>
      </c>
      <c r="Z49" s="124"/>
      <c r="AA49" s="28"/>
      <c r="AB49" s="7">
        <f t="shared" si="3"/>
        <v>0</v>
      </c>
    </row>
    <row r="50" spans="1:28" x14ac:dyDescent="0.25">
      <c r="A50" s="67">
        <v>17</v>
      </c>
      <c r="B50" s="2" t="s">
        <v>438</v>
      </c>
      <c r="C50" s="108">
        <f>20*1*0.6</f>
        <v>12</v>
      </c>
      <c r="D50" s="108">
        <f>10*1*0.6</f>
        <v>6</v>
      </c>
      <c r="E50" s="6"/>
      <c r="F50" s="6"/>
      <c r="G50" s="6"/>
      <c r="H50" s="6"/>
      <c r="I50" s="6">
        <f>60*0.8*0.6</f>
        <v>28.799999999999997</v>
      </c>
      <c r="J50" s="29"/>
      <c r="K50" s="29"/>
      <c r="L50" s="29"/>
      <c r="M50" s="29"/>
      <c r="N50" s="29"/>
      <c r="O50" s="30"/>
      <c r="P50" s="30"/>
      <c r="Q50" s="30"/>
      <c r="R50" s="30"/>
      <c r="S50" s="30">
        <f>100*1*0.6</f>
        <v>60</v>
      </c>
      <c r="T50" s="122"/>
      <c r="U50" s="123"/>
      <c r="V50" s="123"/>
      <c r="W50" s="3"/>
      <c r="X50" s="121"/>
      <c r="Y50" s="124">
        <f t="shared" si="2"/>
        <v>106.8</v>
      </c>
      <c r="Z50" s="124"/>
      <c r="AA50" s="28"/>
      <c r="AB50" s="7">
        <f t="shared" si="3"/>
        <v>6.0510000000000002</v>
      </c>
    </row>
    <row r="51" spans="1:28" x14ac:dyDescent="0.25">
      <c r="A51" s="67">
        <v>18</v>
      </c>
      <c r="B51" s="2" t="s">
        <v>439</v>
      </c>
      <c r="C51" s="108"/>
      <c r="D51" s="108"/>
      <c r="E51" s="6"/>
      <c r="F51" s="6"/>
      <c r="G51" s="6"/>
      <c r="H51" s="6"/>
      <c r="I51" s="6"/>
      <c r="J51" s="29"/>
      <c r="K51" s="29"/>
      <c r="L51" s="29"/>
      <c r="M51" s="29"/>
      <c r="N51" s="29"/>
      <c r="O51" s="30"/>
      <c r="P51" s="30"/>
      <c r="Q51" s="30"/>
      <c r="R51" s="30"/>
      <c r="S51" s="30"/>
      <c r="T51" s="122"/>
      <c r="U51" s="123"/>
      <c r="V51" s="123"/>
      <c r="W51" s="3"/>
      <c r="X51" s="121"/>
      <c r="Y51" s="124">
        <f t="shared" si="2"/>
        <v>0</v>
      </c>
      <c r="Z51" s="124"/>
      <c r="AA51" s="28"/>
      <c r="AB51" s="7">
        <f t="shared" si="3"/>
        <v>0</v>
      </c>
    </row>
    <row r="52" spans="1:28" x14ac:dyDescent="0.25">
      <c r="A52" s="67">
        <v>19</v>
      </c>
      <c r="B52" s="2" t="s">
        <v>440</v>
      </c>
      <c r="C52" s="108"/>
      <c r="D52" s="108"/>
      <c r="E52" s="6"/>
      <c r="F52" s="6"/>
      <c r="G52" s="6"/>
      <c r="H52" s="6"/>
      <c r="I52" s="6"/>
      <c r="J52" s="29"/>
      <c r="K52" s="29"/>
      <c r="L52" s="29"/>
      <c r="M52" s="29"/>
      <c r="N52" s="29"/>
      <c r="O52" s="30"/>
      <c r="P52" s="30"/>
      <c r="Q52" s="30"/>
      <c r="R52" s="30"/>
      <c r="S52" s="30"/>
      <c r="T52" s="122"/>
      <c r="U52" s="123"/>
      <c r="V52" s="123"/>
      <c r="W52" s="3"/>
      <c r="X52" s="121"/>
      <c r="Y52" s="124">
        <f t="shared" si="2"/>
        <v>0</v>
      </c>
      <c r="Z52" s="124"/>
      <c r="AA52" s="28"/>
      <c r="AB52" s="7">
        <f t="shared" si="3"/>
        <v>0</v>
      </c>
    </row>
    <row r="53" spans="1:28" x14ac:dyDescent="0.25">
      <c r="A53" s="67">
        <v>20</v>
      </c>
      <c r="B53" s="2" t="s">
        <v>441</v>
      </c>
      <c r="C53" s="108"/>
      <c r="D53" s="108"/>
      <c r="E53" s="6"/>
      <c r="F53" s="6"/>
      <c r="G53" s="6"/>
      <c r="H53" s="6"/>
      <c r="I53" s="6"/>
      <c r="J53" s="29"/>
      <c r="K53" s="29"/>
      <c r="L53" s="29"/>
      <c r="M53" s="29"/>
      <c r="N53" s="29"/>
      <c r="O53" s="30"/>
      <c r="P53" s="30"/>
      <c r="Q53" s="30"/>
      <c r="R53" s="30"/>
      <c r="S53" s="30"/>
      <c r="T53" s="122"/>
      <c r="U53" s="123"/>
      <c r="V53" s="123"/>
      <c r="W53" s="3"/>
      <c r="X53" s="121"/>
      <c r="Y53" s="124">
        <f t="shared" si="2"/>
        <v>0</v>
      </c>
      <c r="Z53" s="124"/>
      <c r="AA53" s="28"/>
      <c r="AB53" s="7">
        <f t="shared" si="3"/>
        <v>0</v>
      </c>
    </row>
    <row r="54" spans="1:28" x14ac:dyDescent="0.25">
      <c r="A54" s="67">
        <v>21</v>
      </c>
      <c r="B54" s="2" t="s">
        <v>442</v>
      </c>
      <c r="C54" s="108"/>
      <c r="D54" s="108"/>
      <c r="E54" s="6"/>
      <c r="F54" s="6"/>
      <c r="G54" s="6"/>
      <c r="H54" s="6"/>
      <c r="I54" s="6"/>
      <c r="J54" s="29"/>
      <c r="K54" s="29"/>
      <c r="L54" s="29"/>
      <c r="M54" s="29"/>
      <c r="N54" s="29"/>
      <c r="O54" s="30"/>
      <c r="P54" s="30"/>
      <c r="Q54" s="30"/>
      <c r="R54" s="30"/>
      <c r="S54" s="30"/>
      <c r="T54" s="122"/>
      <c r="U54" s="123"/>
      <c r="V54" s="123"/>
      <c r="W54" s="3"/>
      <c r="X54" s="121"/>
      <c r="Y54" s="124">
        <f t="shared" si="2"/>
        <v>0</v>
      </c>
      <c r="Z54" s="124"/>
      <c r="AA54" s="28"/>
      <c r="AB54" s="7">
        <f t="shared" si="3"/>
        <v>0</v>
      </c>
    </row>
    <row r="55" spans="1:28" x14ac:dyDescent="0.25">
      <c r="A55" s="67">
        <v>22</v>
      </c>
      <c r="B55" s="2" t="s">
        <v>443</v>
      </c>
      <c r="C55" s="108">
        <f>20*1*0.6</f>
        <v>12</v>
      </c>
      <c r="D55" s="108">
        <f>10*1*0.6</f>
        <v>6</v>
      </c>
      <c r="E55" s="6"/>
      <c r="F55" s="6"/>
      <c r="G55" s="6"/>
      <c r="H55" s="6"/>
      <c r="I55" s="6">
        <f>60*1*0.6</f>
        <v>36</v>
      </c>
      <c r="J55" s="29"/>
      <c r="K55" s="29"/>
      <c r="L55" s="29">
        <f>90*0.6*0.6</f>
        <v>32.4</v>
      </c>
      <c r="M55" s="29"/>
      <c r="N55" s="29"/>
      <c r="O55" s="30"/>
      <c r="P55" s="30"/>
      <c r="Q55" s="30"/>
      <c r="R55" s="30"/>
      <c r="S55" s="30">
        <f>100*0.7*0.6</f>
        <v>42</v>
      </c>
      <c r="T55" s="122">
        <f>80*0.75*0.6</f>
        <v>36</v>
      </c>
      <c r="U55" s="123"/>
      <c r="V55" s="123"/>
      <c r="W55" s="3"/>
      <c r="X55" s="121"/>
      <c r="Y55" s="124">
        <f t="shared" si="2"/>
        <v>164.4</v>
      </c>
      <c r="Z55" s="124"/>
      <c r="AA55" s="28"/>
      <c r="AB55" s="7">
        <f t="shared" si="3"/>
        <v>6.4829999999999997</v>
      </c>
    </row>
    <row r="56" spans="1:28" x14ac:dyDescent="0.25">
      <c r="A56" s="67">
        <v>23</v>
      </c>
      <c r="B56" s="2" t="s">
        <v>444</v>
      </c>
      <c r="C56" s="108"/>
      <c r="D56" s="108"/>
      <c r="E56" s="6"/>
      <c r="F56" s="6"/>
      <c r="G56" s="6"/>
      <c r="H56" s="6"/>
      <c r="I56" s="6"/>
      <c r="J56" s="29"/>
      <c r="K56" s="29"/>
      <c r="L56" s="29"/>
      <c r="M56" s="29"/>
      <c r="N56" s="29"/>
      <c r="O56" s="30"/>
      <c r="P56" s="30"/>
      <c r="Q56" s="30"/>
      <c r="R56" s="30"/>
      <c r="S56" s="30"/>
      <c r="T56" s="122"/>
      <c r="U56" s="123"/>
      <c r="V56" s="123"/>
      <c r="W56" s="3"/>
      <c r="X56" s="121"/>
      <c r="Y56" s="124">
        <f t="shared" si="2"/>
        <v>0</v>
      </c>
      <c r="Z56" s="124"/>
      <c r="AA56" s="28"/>
      <c r="AB56" s="7">
        <f t="shared" si="3"/>
        <v>0</v>
      </c>
    </row>
    <row r="57" spans="1:28" x14ac:dyDescent="0.25">
      <c r="A57" s="67">
        <v>24</v>
      </c>
      <c r="B57" s="2" t="s">
        <v>445</v>
      </c>
      <c r="C57" s="108"/>
      <c r="D57" s="108"/>
      <c r="E57" s="6"/>
      <c r="F57" s="6"/>
      <c r="G57" s="6"/>
      <c r="H57" s="6"/>
      <c r="I57" s="6"/>
      <c r="J57" s="29"/>
      <c r="K57" s="29"/>
      <c r="L57" s="29"/>
      <c r="M57" s="29"/>
      <c r="N57" s="29"/>
      <c r="O57" s="30"/>
      <c r="P57" s="30"/>
      <c r="Q57" s="30"/>
      <c r="R57" s="30"/>
      <c r="S57" s="30"/>
      <c r="T57" s="122"/>
      <c r="U57" s="123"/>
      <c r="V57" s="123"/>
      <c r="W57" s="3"/>
      <c r="X57" s="121"/>
      <c r="Y57" s="124">
        <f t="shared" si="2"/>
        <v>0</v>
      </c>
      <c r="Z57" s="124"/>
      <c r="AA57" s="28"/>
      <c r="AB57" s="7">
        <f t="shared" si="3"/>
        <v>0</v>
      </c>
    </row>
    <row r="58" spans="1:28" x14ac:dyDescent="0.25">
      <c r="A58" s="67">
        <v>25</v>
      </c>
      <c r="B58" s="2" t="s">
        <v>446</v>
      </c>
      <c r="C58" s="108"/>
      <c r="D58" s="108"/>
      <c r="E58" s="6"/>
      <c r="F58" s="6"/>
      <c r="G58" s="6"/>
      <c r="H58" s="6"/>
      <c r="I58" s="6"/>
      <c r="J58" s="29"/>
      <c r="K58" s="29"/>
      <c r="L58" s="29"/>
      <c r="M58" s="29"/>
      <c r="N58" s="29"/>
      <c r="O58" s="30"/>
      <c r="P58" s="30"/>
      <c r="Q58" s="30"/>
      <c r="R58" s="30"/>
      <c r="S58" s="30"/>
      <c r="T58" s="122"/>
      <c r="U58" s="123"/>
      <c r="V58" s="123"/>
      <c r="W58" s="3"/>
      <c r="X58" s="121"/>
      <c r="Y58" s="124">
        <f t="shared" si="2"/>
        <v>0</v>
      </c>
      <c r="Z58" s="124"/>
      <c r="AA58" s="28"/>
      <c r="AB58" s="7">
        <f t="shared" si="3"/>
        <v>0</v>
      </c>
    </row>
    <row r="59" spans="1:28" x14ac:dyDescent="0.25">
      <c r="A59" s="67">
        <v>26</v>
      </c>
      <c r="B59" s="2" t="s">
        <v>447</v>
      </c>
      <c r="C59" s="108"/>
      <c r="D59" s="108"/>
      <c r="E59" s="6"/>
      <c r="F59" s="6"/>
      <c r="G59" s="6"/>
      <c r="H59" s="6"/>
      <c r="I59" s="6"/>
      <c r="J59" s="29"/>
      <c r="K59" s="29"/>
      <c r="L59" s="29"/>
      <c r="M59" s="29"/>
      <c r="N59" s="29"/>
      <c r="O59" s="30"/>
      <c r="P59" s="30"/>
      <c r="Q59" s="30"/>
      <c r="R59" s="30"/>
      <c r="S59" s="30"/>
      <c r="T59" s="122"/>
      <c r="U59" s="123"/>
      <c r="V59" s="123"/>
      <c r="W59" s="124"/>
      <c r="X59" s="121"/>
      <c r="Y59" s="124">
        <f t="shared" si="2"/>
        <v>0</v>
      </c>
      <c r="Z59" s="124"/>
      <c r="AA59" s="28"/>
      <c r="AB59" s="7">
        <f t="shared" si="3"/>
        <v>0</v>
      </c>
    </row>
    <row r="60" spans="1:28" x14ac:dyDescent="0.25">
      <c r="A60" s="67">
        <v>27</v>
      </c>
      <c r="B60" s="2" t="s">
        <v>448</v>
      </c>
      <c r="C60" s="108">
        <f>20*(0.75*0.8+0.25*0.6)</f>
        <v>15.000000000000002</v>
      </c>
      <c r="D60" s="108">
        <f>10*1*0.8</f>
        <v>8</v>
      </c>
      <c r="E60" s="6"/>
      <c r="F60" s="6"/>
      <c r="G60" s="6"/>
      <c r="H60" s="6">
        <f>40*(0.7*0.8+0.3*0.6)</f>
        <v>29.6</v>
      </c>
      <c r="I60" s="6"/>
      <c r="J60" s="29">
        <f>40*1*0.6</f>
        <v>24</v>
      </c>
      <c r="K60" s="29">
        <f>10*1*0.6</f>
        <v>6</v>
      </c>
      <c r="L60" s="29"/>
      <c r="M60" s="29"/>
      <c r="N60" s="29"/>
      <c r="O60" s="30"/>
      <c r="P60" s="30"/>
      <c r="Q60" s="30"/>
      <c r="R60" s="30"/>
      <c r="S60" s="30">
        <f>100*(0.7*1+0.3*0.6)</f>
        <v>87.999999999999986</v>
      </c>
      <c r="T60" s="122">
        <f>80*0.5*1</f>
        <v>40</v>
      </c>
      <c r="U60" s="123"/>
      <c r="V60" s="123"/>
      <c r="W60" s="124"/>
      <c r="X60" s="121"/>
      <c r="Y60" s="124">
        <f t="shared" si="2"/>
        <v>210.59999999999997</v>
      </c>
      <c r="Z60" s="124"/>
      <c r="AA60" s="28"/>
      <c r="AB60" s="7">
        <f t="shared" si="3"/>
        <v>6.8294999999999995</v>
      </c>
    </row>
    <row r="61" spans="1:28" x14ac:dyDescent="0.25">
      <c r="A61" s="67">
        <v>28</v>
      </c>
      <c r="B61" s="124" t="s">
        <v>553</v>
      </c>
      <c r="C61" s="108"/>
      <c r="D61" s="108"/>
      <c r="E61" s="6"/>
      <c r="F61" s="6"/>
      <c r="G61" s="6"/>
      <c r="H61" s="6"/>
      <c r="I61" s="6"/>
      <c r="J61" s="29"/>
      <c r="K61" s="29"/>
      <c r="L61" s="29"/>
      <c r="M61" s="29"/>
      <c r="N61" s="29"/>
      <c r="O61" s="30"/>
      <c r="P61" s="30"/>
      <c r="Q61" s="30"/>
      <c r="R61" s="30"/>
      <c r="S61" s="30"/>
      <c r="T61" s="122"/>
      <c r="U61" s="123"/>
      <c r="V61" s="123"/>
      <c r="W61" s="124"/>
      <c r="X61" s="121"/>
      <c r="Y61" s="124">
        <f t="shared" si="2"/>
        <v>0</v>
      </c>
      <c r="Z61" s="124"/>
      <c r="AA61" s="28"/>
      <c r="AB61" s="7">
        <f t="shared" si="3"/>
        <v>0</v>
      </c>
    </row>
    <row r="62" spans="1:28" x14ac:dyDescent="0.25">
      <c r="A62" s="67">
        <v>29</v>
      </c>
      <c r="B62" s="124"/>
      <c r="C62" s="108"/>
      <c r="D62" s="108"/>
      <c r="E62" s="6"/>
      <c r="F62" s="6"/>
      <c r="G62" s="6"/>
      <c r="H62" s="6"/>
      <c r="I62" s="6"/>
      <c r="J62" s="29"/>
      <c r="K62" s="29"/>
      <c r="L62" s="29"/>
      <c r="M62" s="29"/>
      <c r="N62" s="29"/>
      <c r="O62" s="30"/>
      <c r="P62" s="30"/>
      <c r="Q62" s="30"/>
      <c r="R62" s="30"/>
      <c r="S62" s="30"/>
      <c r="T62" s="122"/>
      <c r="U62" s="123"/>
      <c r="V62" s="123"/>
      <c r="W62" s="124"/>
      <c r="X62" s="121"/>
      <c r="Y62" s="124">
        <f t="shared" si="2"/>
        <v>0</v>
      </c>
      <c r="Z62" s="124"/>
      <c r="AA62" s="28"/>
      <c r="AB62" s="7">
        <f t="shared" si="3"/>
        <v>0</v>
      </c>
    </row>
    <row r="63" spans="1:28" x14ac:dyDescent="0.25">
      <c r="A63" s="67">
        <v>30</v>
      </c>
      <c r="B63" s="124"/>
      <c r="C63" s="108"/>
      <c r="D63" s="108"/>
      <c r="E63" s="6"/>
      <c r="F63" s="6"/>
      <c r="G63" s="6"/>
      <c r="H63" s="6"/>
      <c r="I63" s="6"/>
      <c r="J63" s="29"/>
      <c r="K63" s="29"/>
      <c r="L63" s="29"/>
      <c r="M63" s="29"/>
      <c r="N63" s="29"/>
      <c r="O63" s="30"/>
      <c r="P63" s="30"/>
      <c r="Q63" s="30"/>
      <c r="R63" s="30"/>
      <c r="S63" s="30"/>
      <c r="T63" s="122"/>
      <c r="U63" s="123"/>
      <c r="V63" s="123"/>
      <c r="W63" s="124"/>
      <c r="X63" s="121"/>
      <c r="Y63" s="124">
        <f t="shared" si="2"/>
        <v>0</v>
      </c>
      <c r="Z63" s="124"/>
      <c r="AA63" s="28"/>
      <c r="AB63" s="7">
        <f t="shared" si="3"/>
        <v>0</v>
      </c>
    </row>
    <row r="64" spans="1:28" x14ac:dyDescent="0.25">
      <c r="B64" s="1" t="s">
        <v>18</v>
      </c>
      <c r="C64">
        <v>20</v>
      </c>
      <c r="D64">
        <v>10</v>
      </c>
      <c r="E64">
        <v>20</v>
      </c>
      <c r="F64">
        <v>30</v>
      </c>
      <c r="G64">
        <v>50</v>
      </c>
      <c r="H64">
        <v>40</v>
      </c>
      <c r="I64">
        <v>60</v>
      </c>
      <c r="J64">
        <v>40</v>
      </c>
      <c r="K64">
        <v>10</v>
      </c>
      <c r="L64">
        <v>90</v>
      </c>
      <c r="M64">
        <v>10</v>
      </c>
      <c r="N64">
        <v>20</v>
      </c>
      <c r="O64">
        <v>30</v>
      </c>
      <c r="P64">
        <v>40</v>
      </c>
      <c r="Q64">
        <v>60</v>
      </c>
      <c r="R64">
        <v>10</v>
      </c>
      <c r="S64">
        <v>100</v>
      </c>
      <c r="T64">
        <v>80</v>
      </c>
      <c r="U64">
        <v>150</v>
      </c>
      <c r="AA64" s="22">
        <v>0.6</v>
      </c>
    </row>
    <row r="65" spans="2:26" x14ac:dyDescent="0.25">
      <c r="Y65" t="s">
        <v>48</v>
      </c>
      <c r="Z65" s="27">
        <v>0.2</v>
      </c>
    </row>
    <row r="68" spans="2:26" x14ac:dyDescent="0.25">
      <c r="C68" t="s">
        <v>16</v>
      </c>
      <c r="D68" t="s">
        <v>17</v>
      </c>
      <c r="W68" s="11"/>
      <c r="X68" s="71"/>
    </row>
    <row r="69" spans="2:26" x14ac:dyDescent="0.25">
      <c r="B69" t="s">
        <v>13</v>
      </c>
      <c r="C69">
        <v>500</v>
      </c>
      <c r="D69">
        <f>D71*1.5</f>
        <v>9</v>
      </c>
      <c r="W69" s="12"/>
      <c r="X69" s="12"/>
    </row>
    <row r="70" spans="2:26" x14ac:dyDescent="0.25">
      <c r="B70" t="s">
        <v>14</v>
      </c>
      <c r="C70">
        <v>300</v>
      </c>
      <c r="D70">
        <f>(D69-D71)*0.5+D71</f>
        <v>7.5</v>
      </c>
    </row>
    <row r="71" spans="2:26" x14ac:dyDescent="0.25">
      <c r="B71" t="s">
        <v>15</v>
      </c>
      <c r="C71">
        <v>100</v>
      </c>
      <c r="D71">
        <v>6</v>
      </c>
    </row>
    <row r="74" spans="2:26" ht="15.75" x14ac:dyDescent="0.3">
      <c r="B74" s="134" t="s">
        <v>512</v>
      </c>
    </row>
    <row r="76" spans="2:26" ht="29.25" customHeight="1" x14ac:dyDescent="0.3">
      <c r="B76" s="136" t="s">
        <v>159</v>
      </c>
    </row>
    <row r="77" spans="2:26" ht="19.5" customHeight="1" x14ac:dyDescent="0.3">
      <c r="B77" s="134" t="s">
        <v>513</v>
      </c>
    </row>
    <row r="78" spans="2:26" ht="20.25" customHeight="1" x14ac:dyDescent="0.3">
      <c r="B78" s="134" t="s">
        <v>514</v>
      </c>
    </row>
    <row r="79" spans="2:26" ht="16.5" customHeight="1" x14ac:dyDescent="0.3">
      <c r="B79" s="134" t="s">
        <v>515</v>
      </c>
    </row>
    <row r="80" spans="2:26" ht="15.75" x14ac:dyDescent="0.3">
      <c r="B80" s="134" t="s">
        <v>516</v>
      </c>
    </row>
    <row r="81" spans="2:2" ht="15.75" x14ac:dyDescent="0.3">
      <c r="B81" s="134" t="s">
        <v>517</v>
      </c>
    </row>
    <row r="82" spans="2:2" ht="15.75" x14ac:dyDescent="0.3">
      <c r="B82" s="134" t="s">
        <v>518</v>
      </c>
    </row>
    <row r="84" spans="2:2" ht="25.5" customHeight="1" x14ac:dyDescent="0.3">
      <c r="B84" s="136" t="s">
        <v>219</v>
      </c>
    </row>
    <row r="85" spans="2:2" ht="15.75" x14ac:dyDescent="0.3">
      <c r="B85" s="134" t="s">
        <v>519</v>
      </c>
    </row>
    <row r="86" spans="2:2" ht="15.75" x14ac:dyDescent="0.3">
      <c r="B86" s="134" t="s">
        <v>520</v>
      </c>
    </row>
    <row r="87" spans="2:2" ht="15.75" x14ac:dyDescent="0.3">
      <c r="B87" s="134" t="s">
        <v>521</v>
      </c>
    </row>
    <row r="88" spans="2:2" ht="15.75" x14ac:dyDescent="0.3">
      <c r="B88" s="134" t="s">
        <v>522</v>
      </c>
    </row>
    <row r="89" spans="2:2" ht="15.75" x14ac:dyDescent="0.3">
      <c r="B89" s="134" t="s">
        <v>523</v>
      </c>
    </row>
    <row r="90" spans="2:2" ht="15.75" x14ac:dyDescent="0.3">
      <c r="B90" s="134" t="s">
        <v>524</v>
      </c>
    </row>
    <row r="91" spans="2:2" x14ac:dyDescent="0.25">
      <c r="B91" s="120"/>
    </row>
    <row r="92" spans="2:2" x14ac:dyDescent="0.25">
      <c r="B92" s="120"/>
    </row>
    <row r="93" spans="2:2" x14ac:dyDescent="0.25">
      <c r="B93" s="120"/>
    </row>
    <row r="94" spans="2:2" x14ac:dyDescent="0.25">
      <c r="B94" s="120"/>
    </row>
    <row r="95" spans="2:2" x14ac:dyDescent="0.25">
      <c r="B95" s="77"/>
    </row>
    <row r="96" spans="2:2" x14ac:dyDescent="0.25">
      <c r="B96" s="77"/>
    </row>
  </sheetData>
  <phoneticPr fontId="8" type="noConversion"/>
  <conditionalFormatting sqref="AB34:AB63 AB3:AB32">
    <cfRule type="colorScale" priority="1">
      <colorScale>
        <cfvo type="num" val="0"/>
        <cfvo type="num" val="$D$71"/>
        <cfvo type="num" val="$D$69"/>
        <color rgb="FFFF0000"/>
        <color rgb="FFFFFF00"/>
        <color rgb="FF00B050"/>
      </colorScale>
    </cfRule>
    <cfRule type="colorScale" priority="2">
      <colorScale>
        <cfvo type="num" val="$D$71"/>
        <cfvo type="num" val="0"/>
        <cfvo type="num" val="$D$69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Q89"/>
  <sheetViews>
    <sheetView zoomScale="115" zoomScaleNormal="115" workbookViewId="0">
      <pane xSplit="2" ySplit="2" topLeftCell="C57" activePane="bottomRight" state="frozen"/>
      <selection pane="topRight" activeCell="C1" sqref="C1"/>
      <selection pane="bottomLeft" activeCell="A3" sqref="A3"/>
      <selection pane="bottomRight" activeCell="C71" sqref="C70:C71"/>
    </sheetView>
  </sheetViews>
  <sheetFormatPr defaultRowHeight="15" x14ac:dyDescent="0.25"/>
  <cols>
    <col min="2" max="2" width="38.85546875" bestFit="1" customWidth="1"/>
    <col min="3" max="3" width="12.28515625" customWidth="1"/>
    <col min="4" max="4" width="11.85546875" customWidth="1"/>
    <col min="5" max="5" width="10" customWidth="1"/>
    <col min="6" max="6" width="12.85546875" bestFit="1" customWidth="1"/>
    <col min="7" max="7" width="12.5703125" customWidth="1"/>
    <col min="8" max="11" width="13.28515625" customWidth="1"/>
    <col min="12" max="13" width="10.28515625" bestFit="1" customWidth="1"/>
    <col min="14" max="14" width="10.28515625" customWidth="1"/>
    <col min="15" max="15" width="11.85546875" customWidth="1"/>
    <col min="16" max="20" width="10.28515625" bestFit="1" customWidth="1"/>
  </cols>
  <sheetData>
    <row r="1" spans="1:17" x14ac:dyDescent="0.25">
      <c r="B1" t="s">
        <v>313</v>
      </c>
    </row>
    <row r="2" spans="1:17" x14ac:dyDescent="0.25">
      <c r="A2" s="67"/>
      <c r="B2" s="65" t="s">
        <v>20</v>
      </c>
      <c r="C2" s="65" t="s">
        <v>407</v>
      </c>
      <c r="D2" s="65" t="s">
        <v>408</v>
      </c>
      <c r="E2" s="65" t="s">
        <v>409</v>
      </c>
      <c r="F2" s="65" t="s">
        <v>224</v>
      </c>
      <c r="G2" s="65" t="s">
        <v>410</v>
      </c>
      <c r="H2" s="65" t="s">
        <v>411</v>
      </c>
      <c r="I2" s="65" t="s">
        <v>412</v>
      </c>
      <c r="J2" s="65" t="s">
        <v>413</v>
      </c>
      <c r="K2" s="65" t="s">
        <v>414</v>
      </c>
      <c r="L2" s="65" t="s">
        <v>1</v>
      </c>
      <c r="M2" s="65" t="s">
        <v>340</v>
      </c>
      <c r="N2" s="10" t="s">
        <v>0</v>
      </c>
      <c r="O2" s="10" t="s">
        <v>1</v>
      </c>
      <c r="P2" s="10" t="s">
        <v>47</v>
      </c>
      <c r="Q2" s="10" t="s">
        <v>12</v>
      </c>
    </row>
    <row r="3" spans="1:17" x14ac:dyDescent="0.25">
      <c r="A3" s="67">
        <v>1</v>
      </c>
      <c r="B3" s="2" t="s">
        <v>466</v>
      </c>
      <c r="C3" s="100"/>
      <c r="D3" s="100"/>
      <c r="E3" s="100"/>
      <c r="F3" s="128">
        <f>140*0.7*1.1</f>
        <v>107.80000000000001</v>
      </c>
      <c r="G3" s="129"/>
      <c r="H3" s="129"/>
      <c r="I3" s="66"/>
      <c r="J3" s="66"/>
      <c r="K3" s="66"/>
      <c r="L3" s="29"/>
      <c r="M3" s="29"/>
      <c r="N3" s="124">
        <f t="shared" ref="N3:N32" si="0">SUM(C3:M3)</f>
        <v>107.80000000000001</v>
      </c>
      <c r="O3" s="124"/>
      <c r="P3" s="28"/>
      <c r="Q3" s="7">
        <f t="shared" ref="Q3:Q32" si="1">NormalizeResult($C$71,$D$71,$C$70,$D$70,$C$69,$D$69,N3)+O3+IF(P3&gt;$P$64,P3*$P$65,0)</f>
        <v>5.2889999999999997</v>
      </c>
    </row>
    <row r="4" spans="1:17" x14ac:dyDescent="0.25">
      <c r="A4" s="67">
        <v>2</v>
      </c>
      <c r="B4" s="2" t="s">
        <v>478</v>
      </c>
      <c r="C4" s="100"/>
      <c r="D4" s="100"/>
      <c r="E4" s="100"/>
      <c r="F4" s="128">
        <f>140*0.7*0.6</f>
        <v>58.8</v>
      </c>
      <c r="G4" s="129"/>
      <c r="H4" s="129"/>
      <c r="I4" s="66"/>
      <c r="J4" s="66"/>
      <c r="K4" s="66"/>
      <c r="L4" s="29"/>
      <c r="M4" s="29"/>
      <c r="N4" s="124">
        <f t="shared" si="0"/>
        <v>58.8</v>
      </c>
      <c r="O4" s="124"/>
      <c r="P4" s="28"/>
      <c r="Q4" s="7">
        <f t="shared" si="1"/>
        <v>5.0439999999999996</v>
      </c>
    </row>
    <row r="5" spans="1:17" x14ac:dyDescent="0.25">
      <c r="A5" s="67">
        <v>3</v>
      </c>
      <c r="B5" t="s">
        <v>449</v>
      </c>
      <c r="C5" s="100"/>
      <c r="D5" s="100"/>
      <c r="E5" s="100"/>
      <c r="F5" s="128">
        <f>140*0.8*1</f>
        <v>112</v>
      </c>
      <c r="G5" s="129"/>
      <c r="H5" s="129"/>
      <c r="I5" s="66"/>
      <c r="J5" s="66"/>
      <c r="K5" s="66"/>
      <c r="L5" s="29"/>
      <c r="M5" s="29"/>
      <c r="N5" s="3">
        <f>SUM(C5:M5)</f>
        <v>112</v>
      </c>
      <c r="O5" s="3"/>
      <c r="P5" s="28"/>
      <c r="Q5" s="7">
        <f t="shared" si="1"/>
        <v>5.31</v>
      </c>
    </row>
    <row r="6" spans="1:17" x14ac:dyDescent="0.25">
      <c r="A6" s="67">
        <v>4</v>
      </c>
      <c r="B6" s="2" t="s">
        <v>479</v>
      </c>
      <c r="C6" s="100"/>
      <c r="D6" s="100"/>
      <c r="E6" s="100"/>
      <c r="F6" s="128"/>
      <c r="G6" s="129"/>
      <c r="H6" s="129"/>
      <c r="I6" s="66"/>
      <c r="J6" s="66"/>
      <c r="K6" s="66"/>
      <c r="L6" s="29"/>
      <c r="M6" s="29"/>
      <c r="N6" s="124">
        <f t="shared" si="0"/>
        <v>0</v>
      </c>
      <c r="O6" s="124"/>
      <c r="P6" s="28"/>
      <c r="Q6" s="7">
        <f t="shared" si="1"/>
        <v>0</v>
      </c>
    </row>
    <row r="7" spans="1:17" x14ac:dyDescent="0.25">
      <c r="A7" s="67">
        <v>5</v>
      </c>
      <c r="B7" s="2" t="s">
        <v>480</v>
      </c>
      <c r="C7" s="100"/>
      <c r="D7" s="100"/>
      <c r="E7" s="100"/>
      <c r="F7" s="128"/>
      <c r="G7" s="129"/>
      <c r="H7" s="129"/>
      <c r="I7" s="66"/>
      <c r="J7" s="66"/>
      <c r="K7" s="66"/>
      <c r="L7" s="29"/>
      <c r="M7" s="29"/>
      <c r="N7" s="124">
        <f t="shared" si="0"/>
        <v>0</v>
      </c>
      <c r="O7" s="124"/>
      <c r="P7" s="28"/>
      <c r="Q7" s="7">
        <f t="shared" si="1"/>
        <v>0</v>
      </c>
    </row>
    <row r="8" spans="1:17" x14ac:dyDescent="0.25">
      <c r="A8" s="67">
        <v>6</v>
      </c>
      <c r="B8" s="2" t="s">
        <v>483</v>
      </c>
      <c r="C8" s="100"/>
      <c r="D8" s="100"/>
      <c r="E8" s="100"/>
      <c r="F8" s="128">
        <f>140*(0.7*0.8+0.3*0.6)</f>
        <v>103.6</v>
      </c>
      <c r="G8" s="129"/>
      <c r="H8" s="129"/>
      <c r="I8" s="66"/>
      <c r="J8" s="66"/>
      <c r="K8" s="66"/>
      <c r="L8" s="29"/>
      <c r="M8" s="29"/>
      <c r="N8" s="124">
        <f>SUM(C8:M8)</f>
        <v>103.6</v>
      </c>
      <c r="O8" s="124"/>
      <c r="P8" s="28"/>
      <c r="Q8" s="7">
        <f t="shared" si="1"/>
        <v>5.2679999999999998</v>
      </c>
    </row>
    <row r="9" spans="1:17" x14ac:dyDescent="0.25">
      <c r="A9" s="67">
        <v>7</v>
      </c>
      <c r="B9" s="2" t="s">
        <v>481</v>
      </c>
      <c r="C9" s="100"/>
      <c r="D9" s="100"/>
      <c r="E9" s="100"/>
      <c r="F9" s="128">
        <f>140*1*0.6</f>
        <v>84</v>
      </c>
      <c r="G9" s="129"/>
      <c r="H9" s="129"/>
      <c r="I9" s="66"/>
      <c r="J9" s="66"/>
      <c r="K9" s="66"/>
      <c r="L9" s="29"/>
      <c r="M9" s="29"/>
      <c r="N9" s="124">
        <f t="shared" si="0"/>
        <v>84</v>
      </c>
      <c r="O9" s="124"/>
      <c r="P9" s="28"/>
      <c r="Q9" s="7">
        <f t="shared" si="1"/>
        <v>5.17</v>
      </c>
    </row>
    <row r="10" spans="1:17" x14ac:dyDescent="0.25">
      <c r="A10" s="67">
        <v>8</v>
      </c>
      <c r="B10" s="2" t="s">
        <v>482</v>
      </c>
      <c r="C10" s="100"/>
      <c r="D10" s="100"/>
      <c r="E10" s="100"/>
      <c r="F10" s="128">
        <f>140*1*0.6</f>
        <v>84</v>
      </c>
      <c r="G10" s="129"/>
      <c r="H10" s="129"/>
      <c r="I10" s="66"/>
      <c r="J10" s="66"/>
      <c r="K10" s="66"/>
      <c r="L10" s="29"/>
      <c r="M10" s="29"/>
      <c r="N10" s="124">
        <f t="shared" si="0"/>
        <v>84</v>
      </c>
      <c r="O10" s="124"/>
      <c r="P10" s="28"/>
      <c r="Q10" s="7">
        <f t="shared" si="1"/>
        <v>5.17</v>
      </c>
    </row>
    <row r="11" spans="1:17" x14ac:dyDescent="0.25">
      <c r="A11" s="67">
        <v>9</v>
      </c>
      <c r="B11" s="2" t="s">
        <v>484</v>
      </c>
      <c r="C11" s="100"/>
      <c r="D11" s="100"/>
      <c r="E11" s="100"/>
      <c r="F11" s="128">
        <f>140*(0.65*1.1)</f>
        <v>100.10000000000001</v>
      </c>
      <c r="G11" s="129"/>
      <c r="H11" s="129"/>
      <c r="I11" s="66">
        <f>300*1*1.1</f>
        <v>330</v>
      </c>
      <c r="J11" s="66"/>
      <c r="K11" s="66"/>
      <c r="L11" s="29"/>
      <c r="M11" s="29"/>
      <c r="N11" s="124">
        <f t="shared" si="0"/>
        <v>430.1</v>
      </c>
      <c r="O11" s="124"/>
      <c r="P11" s="28"/>
      <c r="Q11" s="7">
        <f t="shared" si="1"/>
        <v>6.7920833333333333</v>
      </c>
    </row>
    <row r="12" spans="1:17" x14ac:dyDescent="0.25">
      <c r="A12" s="67">
        <v>10</v>
      </c>
      <c r="B12" s="2" t="s">
        <v>485</v>
      </c>
      <c r="C12" s="100"/>
      <c r="D12" s="100"/>
      <c r="E12" s="100"/>
      <c r="F12" s="128">
        <f>140*1*0.8</f>
        <v>112</v>
      </c>
      <c r="G12" s="129"/>
      <c r="H12" s="129"/>
      <c r="I12" s="66"/>
      <c r="J12" s="66"/>
      <c r="K12" s="66"/>
      <c r="L12" s="29"/>
      <c r="M12" s="29"/>
      <c r="N12" s="124">
        <f t="shared" si="0"/>
        <v>112</v>
      </c>
      <c r="O12" s="124"/>
      <c r="P12" s="28"/>
      <c r="Q12" s="7">
        <f t="shared" si="1"/>
        <v>5.31</v>
      </c>
    </row>
    <row r="13" spans="1:17" x14ac:dyDescent="0.25">
      <c r="A13" s="67">
        <v>11</v>
      </c>
      <c r="B13" s="2" t="s">
        <v>486</v>
      </c>
      <c r="C13" s="100"/>
      <c r="D13" s="100"/>
      <c r="E13" s="100"/>
      <c r="F13" s="128">
        <f>140*(0.5*0.8+0.25*0.6)</f>
        <v>77</v>
      </c>
      <c r="G13" s="129"/>
      <c r="H13" s="129"/>
      <c r="I13" s="66"/>
      <c r="J13" s="66"/>
      <c r="K13" s="66"/>
      <c r="L13" s="29"/>
      <c r="M13" s="29"/>
      <c r="N13" s="124">
        <f t="shared" si="0"/>
        <v>77</v>
      </c>
      <c r="O13" s="124"/>
      <c r="P13" s="28"/>
      <c r="Q13" s="7">
        <f t="shared" si="1"/>
        <v>5.1349999999999998</v>
      </c>
    </row>
    <row r="14" spans="1:17" x14ac:dyDescent="0.25">
      <c r="A14" s="67">
        <v>12</v>
      </c>
      <c r="B14" s="2" t="s">
        <v>487</v>
      </c>
      <c r="C14" s="100"/>
      <c r="D14" s="100"/>
      <c r="E14" s="100"/>
      <c r="F14" s="128"/>
      <c r="G14" s="129"/>
      <c r="H14" s="129"/>
      <c r="I14" s="66"/>
      <c r="J14" s="66"/>
      <c r="K14" s="66"/>
      <c r="L14" s="29"/>
      <c r="M14" s="29"/>
      <c r="N14" s="124">
        <f t="shared" si="0"/>
        <v>0</v>
      </c>
      <c r="O14" s="124"/>
      <c r="P14" s="28"/>
      <c r="Q14" s="7">
        <f t="shared" si="1"/>
        <v>0</v>
      </c>
    </row>
    <row r="15" spans="1:17" x14ac:dyDescent="0.25">
      <c r="A15" s="67">
        <v>13</v>
      </c>
      <c r="B15" s="2" t="s">
        <v>488</v>
      </c>
      <c r="C15" s="100"/>
      <c r="D15" s="100"/>
      <c r="E15" s="100"/>
      <c r="F15" s="128">
        <f>140*0.6*0.6</f>
        <v>50.4</v>
      </c>
      <c r="G15" s="129"/>
      <c r="H15" s="129"/>
      <c r="I15" s="66"/>
      <c r="J15" s="66"/>
      <c r="K15" s="66"/>
      <c r="L15" s="29"/>
      <c r="M15" s="29"/>
      <c r="N15" s="124">
        <f t="shared" si="0"/>
        <v>50.4</v>
      </c>
      <c r="O15" s="124"/>
      <c r="P15" s="28"/>
      <c r="Q15" s="7">
        <f t="shared" si="1"/>
        <v>5.0019999999999998</v>
      </c>
    </row>
    <row r="16" spans="1:17" x14ac:dyDescent="0.25">
      <c r="A16" s="67">
        <v>14</v>
      </c>
      <c r="B16" s="2" t="s">
        <v>473</v>
      </c>
      <c r="C16" s="100"/>
      <c r="D16" s="100"/>
      <c r="E16" s="100"/>
      <c r="F16" s="128">
        <f>140*1*0.6</f>
        <v>84</v>
      </c>
      <c r="G16" s="129"/>
      <c r="H16" s="129"/>
      <c r="I16" s="66"/>
      <c r="J16" s="66"/>
      <c r="K16" s="66"/>
      <c r="L16" s="29"/>
      <c r="M16" s="29"/>
      <c r="N16" s="124">
        <f t="shared" si="0"/>
        <v>84</v>
      </c>
      <c r="O16" s="124"/>
      <c r="P16" s="28"/>
      <c r="Q16" s="7">
        <f t="shared" si="1"/>
        <v>5.17</v>
      </c>
    </row>
    <row r="17" spans="1:17" x14ac:dyDescent="0.25">
      <c r="A17" s="67">
        <v>15</v>
      </c>
      <c r="B17" s="2" t="s">
        <v>474</v>
      </c>
      <c r="C17" s="100"/>
      <c r="D17" s="100"/>
      <c r="E17" s="100"/>
      <c r="F17" s="128"/>
      <c r="G17" s="129"/>
      <c r="H17" s="129"/>
      <c r="I17" s="66"/>
      <c r="J17" s="66"/>
      <c r="K17" s="66"/>
      <c r="L17" s="29"/>
      <c r="M17" s="29"/>
      <c r="N17" s="124">
        <f t="shared" si="0"/>
        <v>0</v>
      </c>
      <c r="O17" s="124"/>
      <c r="P17" s="28"/>
      <c r="Q17" s="7">
        <f t="shared" si="1"/>
        <v>0</v>
      </c>
    </row>
    <row r="18" spans="1:17" x14ac:dyDescent="0.25">
      <c r="A18" s="67">
        <v>16</v>
      </c>
      <c r="B18" s="2" t="s">
        <v>489</v>
      </c>
      <c r="C18" s="100"/>
      <c r="D18" s="100"/>
      <c r="E18" s="100"/>
      <c r="F18" s="128">
        <f>140*0.8*1</f>
        <v>112</v>
      </c>
      <c r="G18" s="129"/>
      <c r="H18" s="129"/>
      <c r="I18" s="66"/>
      <c r="J18" s="66"/>
      <c r="K18" s="66"/>
      <c r="L18" s="29"/>
      <c r="M18" s="29"/>
      <c r="N18" s="124">
        <f t="shared" si="0"/>
        <v>112</v>
      </c>
      <c r="O18" s="124"/>
      <c r="P18" s="28"/>
      <c r="Q18" s="7">
        <f t="shared" si="1"/>
        <v>5.31</v>
      </c>
    </row>
    <row r="19" spans="1:17" x14ac:dyDescent="0.25">
      <c r="A19" s="67">
        <v>17</v>
      </c>
      <c r="B19" s="2" t="s">
        <v>475</v>
      </c>
      <c r="C19" s="100"/>
      <c r="D19" s="100"/>
      <c r="E19" s="100"/>
      <c r="F19" s="128"/>
      <c r="G19" s="129"/>
      <c r="H19" s="129"/>
      <c r="I19" s="66"/>
      <c r="J19" s="66"/>
      <c r="K19" s="66"/>
      <c r="L19" s="29"/>
      <c r="M19" s="29"/>
      <c r="N19" s="124">
        <f t="shared" si="0"/>
        <v>0</v>
      </c>
      <c r="O19" s="124"/>
      <c r="P19" s="28"/>
      <c r="Q19" s="7">
        <f t="shared" si="1"/>
        <v>0</v>
      </c>
    </row>
    <row r="20" spans="1:17" x14ac:dyDescent="0.25">
      <c r="A20" s="67">
        <v>18</v>
      </c>
      <c r="B20" s="2" t="s">
        <v>579</v>
      </c>
      <c r="C20" s="100"/>
      <c r="D20" s="100"/>
      <c r="E20" s="100"/>
      <c r="F20" s="128">
        <f>140*0.75*0.6</f>
        <v>63</v>
      </c>
      <c r="G20" s="129"/>
      <c r="H20" s="129"/>
      <c r="I20" s="66"/>
      <c r="J20" s="66"/>
      <c r="K20" s="66"/>
      <c r="L20" s="29"/>
      <c r="M20" s="29"/>
      <c r="N20" s="124">
        <f t="shared" si="0"/>
        <v>63</v>
      </c>
      <c r="O20" s="124"/>
      <c r="P20" s="28"/>
      <c r="Q20" s="7">
        <f t="shared" si="1"/>
        <v>5.0650000000000004</v>
      </c>
    </row>
    <row r="21" spans="1:17" x14ac:dyDescent="0.25">
      <c r="A21" s="67">
        <v>19</v>
      </c>
      <c r="B21" s="2" t="s">
        <v>491</v>
      </c>
      <c r="C21" s="100"/>
      <c r="D21" s="100"/>
      <c r="E21" s="100"/>
      <c r="F21" s="128"/>
      <c r="G21" s="129"/>
      <c r="H21" s="129"/>
      <c r="I21" s="66"/>
      <c r="J21" s="66"/>
      <c r="K21" s="66"/>
      <c r="L21" s="29"/>
      <c r="M21" s="29"/>
      <c r="N21" s="124">
        <f t="shared" si="0"/>
        <v>0</v>
      </c>
      <c r="O21" s="124"/>
      <c r="P21" s="28"/>
      <c r="Q21" s="7">
        <f t="shared" si="1"/>
        <v>0</v>
      </c>
    </row>
    <row r="22" spans="1:17" x14ac:dyDescent="0.25">
      <c r="A22" s="67">
        <v>20</v>
      </c>
      <c r="B22" s="2" t="s">
        <v>477</v>
      </c>
      <c r="C22" s="100"/>
      <c r="D22" s="100"/>
      <c r="E22" s="100"/>
      <c r="F22" s="128"/>
      <c r="G22" s="129"/>
      <c r="H22" s="129"/>
      <c r="I22" s="66"/>
      <c r="J22" s="66"/>
      <c r="K22" s="66"/>
      <c r="L22" s="29"/>
      <c r="M22" s="29"/>
      <c r="N22" s="124">
        <f t="shared" si="0"/>
        <v>0</v>
      </c>
      <c r="O22" s="124"/>
      <c r="P22" s="28"/>
      <c r="Q22" s="7">
        <f t="shared" si="1"/>
        <v>0</v>
      </c>
    </row>
    <row r="23" spans="1:17" x14ac:dyDescent="0.25">
      <c r="A23" s="67">
        <v>21</v>
      </c>
      <c r="B23" s="2" t="s">
        <v>492</v>
      </c>
      <c r="C23" s="100"/>
      <c r="D23" s="100"/>
      <c r="E23" s="100"/>
      <c r="F23" s="128">
        <f>140*0.5*0.6</f>
        <v>42</v>
      </c>
      <c r="G23" s="129"/>
      <c r="H23" s="129"/>
      <c r="I23" s="66"/>
      <c r="J23" s="66"/>
      <c r="K23" s="66"/>
      <c r="L23" s="29"/>
      <c r="M23" s="29"/>
      <c r="N23" s="124">
        <f t="shared" si="0"/>
        <v>42</v>
      </c>
      <c r="O23" s="124"/>
      <c r="P23" s="28"/>
      <c r="Q23" s="7">
        <f t="shared" si="1"/>
        <v>4.2</v>
      </c>
    </row>
    <row r="24" spans="1:17" x14ac:dyDescent="0.25">
      <c r="A24" s="67">
        <v>22</v>
      </c>
      <c r="B24" s="2" t="s">
        <v>493</v>
      </c>
      <c r="C24" s="100">
        <f>50*0.7*1</f>
        <v>35</v>
      </c>
      <c r="D24" s="100">
        <f>10*1*1</f>
        <v>10</v>
      </c>
      <c r="E24" s="100"/>
      <c r="F24" s="128">
        <f>140*0.7*0.8</f>
        <v>78.400000000000006</v>
      </c>
      <c r="G24" s="129"/>
      <c r="H24" s="129"/>
      <c r="I24" s="66"/>
      <c r="J24" s="66"/>
      <c r="K24" s="66"/>
      <c r="L24" s="29"/>
      <c r="M24" s="29"/>
      <c r="N24" s="124">
        <f t="shared" si="0"/>
        <v>123.4</v>
      </c>
      <c r="O24" s="124"/>
      <c r="P24" s="28"/>
      <c r="Q24" s="7">
        <f t="shared" si="1"/>
        <v>5.367</v>
      </c>
    </row>
    <row r="25" spans="1:17" x14ac:dyDescent="0.25">
      <c r="A25" s="67">
        <v>23</v>
      </c>
      <c r="B25" s="2" t="s">
        <v>494</v>
      </c>
      <c r="C25" s="100"/>
      <c r="D25" s="100"/>
      <c r="E25" s="100"/>
      <c r="F25" s="128"/>
      <c r="G25" s="129"/>
      <c r="H25" s="129"/>
      <c r="I25" s="66"/>
      <c r="J25" s="66"/>
      <c r="K25" s="66"/>
      <c r="L25" s="29"/>
      <c r="M25" s="29"/>
      <c r="N25" s="124">
        <f t="shared" si="0"/>
        <v>0</v>
      </c>
      <c r="O25" s="124"/>
      <c r="P25" s="28"/>
      <c r="Q25" s="7">
        <f t="shared" si="1"/>
        <v>0</v>
      </c>
    </row>
    <row r="26" spans="1:17" x14ac:dyDescent="0.25">
      <c r="A26" s="67">
        <v>24</v>
      </c>
      <c r="B26" s="2" t="s">
        <v>476</v>
      </c>
      <c r="C26" s="100"/>
      <c r="D26" s="100"/>
      <c r="E26" s="100"/>
      <c r="F26" s="128"/>
      <c r="G26" s="129"/>
      <c r="H26" s="129"/>
      <c r="I26" s="66"/>
      <c r="J26" s="66"/>
      <c r="K26" s="66"/>
      <c r="L26" s="29"/>
      <c r="M26" s="29"/>
      <c r="N26" s="124">
        <f t="shared" si="0"/>
        <v>0</v>
      </c>
      <c r="O26" s="124"/>
      <c r="P26" s="28"/>
      <c r="Q26" s="7">
        <f t="shared" si="1"/>
        <v>0</v>
      </c>
    </row>
    <row r="27" spans="1:17" x14ac:dyDescent="0.25">
      <c r="A27" s="67">
        <v>25</v>
      </c>
      <c r="B27" s="2" t="s">
        <v>495</v>
      </c>
      <c r="C27" s="100"/>
      <c r="D27" s="100"/>
      <c r="E27" s="100"/>
      <c r="F27" s="128">
        <f>140*0.7*0.6</f>
        <v>58.8</v>
      </c>
      <c r="G27" s="129"/>
      <c r="H27" s="129"/>
      <c r="I27" s="66"/>
      <c r="J27" s="66"/>
      <c r="K27" s="66"/>
      <c r="L27" s="29"/>
      <c r="M27" s="29"/>
      <c r="N27" s="124">
        <f t="shared" si="0"/>
        <v>58.8</v>
      </c>
      <c r="O27" s="124"/>
      <c r="P27" s="28"/>
      <c r="Q27" s="7">
        <f t="shared" si="1"/>
        <v>5.0439999999999996</v>
      </c>
    </row>
    <row r="28" spans="1:17" x14ac:dyDescent="0.25">
      <c r="A28" s="67">
        <v>26</v>
      </c>
      <c r="B28" s="2" t="s">
        <v>496</v>
      </c>
      <c r="C28" s="100"/>
      <c r="D28" s="100"/>
      <c r="E28" s="100"/>
      <c r="F28" s="128">
        <f>140*0.6*0.6</f>
        <v>50.4</v>
      </c>
      <c r="G28" s="129"/>
      <c r="H28" s="129"/>
      <c r="I28" s="66"/>
      <c r="J28" s="66"/>
      <c r="K28" s="66"/>
      <c r="L28" s="29"/>
      <c r="M28" s="29"/>
      <c r="N28" s="124">
        <f t="shared" si="0"/>
        <v>50.4</v>
      </c>
      <c r="O28" s="124"/>
      <c r="P28" s="28"/>
      <c r="Q28" s="7">
        <f t="shared" si="1"/>
        <v>5.0019999999999998</v>
      </c>
    </row>
    <row r="29" spans="1:17" x14ac:dyDescent="0.25">
      <c r="A29" s="67">
        <v>27</v>
      </c>
      <c r="B29" s="2" t="s">
        <v>472</v>
      </c>
      <c r="C29" s="100"/>
      <c r="D29" s="100"/>
      <c r="E29" s="100"/>
      <c r="F29" s="128">
        <f>140*0.8*1.1</f>
        <v>123.20000000000002</v>
      </c>
      <c r="G29" s="129">
        <f>50*0.5*1.1</f>
        <v>27.500000000000004</v>
      </c>
      <c r="H29" s="129">
        <f>50*0.6*1.1</f>
        <v>33</v>
      </c>
      <c r="I29" s="66"/>
      <c r="J29" s="66"/>
      <c r="K29" s="66"/>
      <c r="L29" s="29"/>
      <c r="M29" s="29"/>
      <c r="N29" s="124">
        <f t="shared" si="0"/>
        <v>183.70000000000002</v>
      </c>
      <c r="O29" s="124"/>
      <c r="P29" s="28"/>
      <c r="Q29" s="7">
        <f t="shared" si="1"/>
        <v>5.6684999999999999</v>
      </c>
    </row>
    <row r="30" spans="1:17" x14ac:dyDescent="0.25">
      <c r="A30" s="67">
        <v>28</v>
      </c>
      <c r="B30" s="2" t="s">
        <v>497</v>
      </c>
      <c r="C30" s="100"/>
      <c r="D30" s="100"/>
      <c r="E30" s="100"/>
      <c r="F30" s="128">
        <f>140*0.8*0.6</f>
        <v>67.2</v>
      </c>
      <c r="G30" s="129"/>
      <c r="H30" s="129"/>
      <c r="I30" s="66"/>
      <c r="J30" s="66"/>
      <c r="K30" s="66"/>
      <c r="L30" s="29"/>
      <c r="M30" s="29"/>
      <c r="N30" s="124">
        <f t="shared" si="0"/>
        <v>67.2</v>
      </c>
      <c r="O30" s="124"/>
      <c r="P30" s="28"/>
      <c r="Q30" s="7">
        <f t="shared" si="1"/>
        <v>5.0860000000000003</v>
      </c>
    </row>
    <row r="31" spans="1:17" x14ac:dyDescent="0.25">
      <c r="A31" s="67">
        <v>29</v>
      </c>
      <c r="B31" s="124"/>
      <c r="C31" s="100"/>
      <c r="D31" s="100"/>
      <c r="E31" s="100"/>
      <c r="F31" s="128"/>
      <c r="G31" s="129"/>
      <c r="H31" s="129"/>
      <c r="I31" s="66"/>
      <c r="J31" s="66"/>
      <c r="K31" s="66"/>
      <c r="L31" s="29"/>
      <c r="M31" s="29"/>
      <c r="N31" s="124">
        <f t="shared" si="0"/>
        <v>0</v>
      </c>
      <c r="O31" s="124"/>
      <c r="P31" s="28"/>
      <c r="Q31" s="7">
        <f t="shared" si="1"/>
        <v>0</v>
      </c>
    </row>
    <row r="32" spans="1:17" x14ac:dyDescent="0.25">
      <c r="A32" s="67">
        <v>30</v>
      </c>
      <c r="B32" s="124"/>
      <c r="C32" s="100"/>
      <c r="D32" s="100"/>
      <c r="E32" s="100"/>
      <c r="F32" s="128"/>
      <c r="G32" s="129"/>
      <c r="H32" s="129"/>
      <c r="I32" s="66"/>
      <c r="J32" s="66"/>
      <c r="K32" s="66"/>
      <c r="L32" s="29"/>
      <c r="M32" s="29"/>
      <c r="N32" s="124">
        <f t="shared" si="0"/>
        <v>0</v>
      </c>
      <c r="O32" s="124"/>
      <c r="P32" s="28"/>
      <c r="Q32" s="7">
        <f t="shared" si="1"/>
        <v>0</v>
      </c>
    </row>
    <row r="33" spans="1:17" x14ac:dyDescent="0.25">
      <c r="A33" s="67"/>
      <c r="B33" s="65" t="s">
        <v>124</v>
      </c>
      <c r="C33" s="10" t="s">
        <v>68</v>
      </c>
      <c r="D33" s="65" t="s">
        <v>408</v>
      </c>
      <c r="E33" s="65" t="s">
        <v>409</v>
      </c>
      <c r="F33" s="65" t="s">
        <v>224</v>
      </c>
      <c r="G33" s="65" t="s">
        <v>225</v>
      </c>
      <c r="H33" s="65" t="s">
        <v>226</v>
      </c>
      <c r="I33" s="65" t="s">
        <v>412</v>
      </c>
      <c r="J33" s="65" t="s">
        <v>413</v>
      </c>
      <c r="K33" s="65" t="s">
        <v>414</v>
      </c>
      <c r="L33" s="65" t="s">
        <v>1</v>
      </c>
      <c r="M33" s="65" t="s">
        <v>340</v>
      </c>
      <c r="N33" s="10" t="s">
        <v>0</v>
      </c>
      <c r="O33" s="10" t="s">
        <v>1</v>
      </c>
      <c r="P33" s="10" t="s">
        <v>47</v>
      </c>
      <c r="Q33" s="10" t="s">
        <v>12</v>
      </c>
    </row>
    <row r="34" spans="1:17" x14ac:dyDescent="0.25">
      <c r="A34" s="67">
        <v>1</v>
      </c>
      <c r="B34" s="2" t="s">
        <v>422</v>
      </c>
      <c r="C34" s="100"/>
      <c r="D34" s="100"/>
      <c r="E34" s="100"/>
      <c r="F34" s="128"/>
      <c r="G34" s="129"/>
      <c r="H34" s="129"/>
      <c r="I34" s="66"/>
      <c r="J34" s="66"/>
      <c r="K34" s="66"/>
      <c r="L34" s="29"/>
      <c r="M34" s="29"/>
      <c r="N34" s="3">
        <f t="shared" ref="N34:N63" si="2">SUM(C34:M34)</f>
        <v>0</v>
      </c>
      <c r="O34" s="3"/>
      <c r="P34" s="28"/>
      <c r="Q34" s="7">
        <f t="shared" ref="Q34:Q63" si="3">NormalizeResult($C$71,$D$71,$C$70,$D$70,$C$69,$D$69,N34)+O34+IF(P34&gt;$P$64,P34*$P$65,0)</f>
        <v>0</v>
      </c>
    </row>
    <row r="35" spans="1:17" x14ac:dyDescent="0.25">
      <c r="A35" s="67">
        <v>2</v>
      </c>
      <c r="B35" s="2" t="s">
        <v>423</v>
      </c>
      <c r="C35" s="100"/>
      <c r="D35" s="100"/>
      <c r="E35" s="100"/>
      <c r="F35" s="128"/>
      <c r="G35" s="129"/>
      <c r="H35" s="129"/>
      <c r="I35" s="66"/>
      <c r="J35" s="66"/>
      <c r="K35" s="66"/>
      <c r="L35" s="29"/>
      <c r="M35" s="29"/>
      <c r="N35" s="124">
        <f t="shared" ref="N35:N49" si="4">SUM(C35:M35)</f>
        <v>0</v>
      </c>
      <c r="O35" s="124"/>
      <c r="P35" s="28"/>
      <c r="Q35" s="7">
        <f t="shared" ref="Q35:Q49" si="5">NormalizeResult($C$71,$D$71,$C$70,$D$70,$C$69,$D$69,N35)+O35+IF(P35&gt;$P$64,P35*$P$65,0)</f>
        <v>0</v>
      </c>
    </row>
    <row r="36" spans="1:17" x14ac:dyDescent="0.25">
      <c r="A36" s="67">
        <v>3</v>
      </c>
      <c r="B36" s="2" t="s">
        <v>424</v>
      </c>
      <c r="C36" s="100"/>
      <c r="D36" s="100"/>
      <c r="E36" s="100"/>
      <c r="F36" s="128"/>
      <c r="G36" s="129"/>
      <c r="H36" s="129"/>
      <c r="I36" s="66"/>
      <c r="J36" s="66"/>
      <c r="K36" s="66"/>
      <c r="L36" s="29"/>
      <c r="M36" s="29"/>
      <c r="N36" s="124">
        <f t="shared" si="4"/>
        <v>0</v>
      </c>
      <c r="O36" s="124"/>
      <c r="P36" s="28"/>
      <c r="Q36" s="7">
        <f t="shared" si="5"/>
        <v>0</v>
      </c>
    </row>
    <row r="37" spans="1:17" x14ac:dyDescent="0.25">
      <c r="A37" s="67">
        <v>4</v>
      </c>
      <c r="B37" s="2" t="s">
        <v>425</v>
      </c>
      <c r="C37" s="100"/>
      <c r="D37" s="100"/>
      <c r="E37" s="100"/>
      <c r="F37" s="128"/>
      <c r="G37" s="129"/>
      <c r="H37" s="129"/>
      <c r="I37" s="66"/>
      <c r="J37" s="66"/>
      <c r="K37" s="66"/>
      <c r="L37" s="29"/>
      <c r="M37" s="29"/>
      <c r="N37" s="124">
        <f t="shared" si="4"/>
        <v>0</v>
      </c>
      <c r="O37" s="124"/>
      <c r="P37" s="28"/>
      <c r="Q37" s="7">
        <f t="shared" si="5"/>
        <v>0</v>
      </c>
    </row>
    <row r="38" spans="1:17" x14ac:dyDescent="0.25">
      <c r="A38" s="67">
        <v>5</v>
      </c>
      <c r="B38" s="2" t="s">
        <v>426</v>
      </c>
      <c r="C38" s="100"/>
      <c r="D38" s="100"/>
      <c r="E38" s="100"/>
      <c r="F38" s="128"/>
      <c r="G38" s="129"/>
      <c r="H38" s="129"/>
      <c r="I38" s="66"/>
      <c r="J38" s="66"/>
      <c r="K38" s="66"/>
      <c r="L38" s="29"/>
      <c r="M38" s="29"/>
      <c r="N38" s="124">
        <f t="shared" si="4"/>
        <v>0</v>
      </c>
      <c r="O38" s="124"/>
      <c r="P38" s="28"/>
      <c r="Q38" s="7">
        <f t="shared" si="5"/>
        <v>0</v>
      </c>
    </row>
    <row r="39" spans="1:17" x14ac:dyDescent="0.25">
      <c r="A39" s="67">
        <v>6</v>
      </c>
      <c r="B39" s="2" t="s">
        <v>427</v>
      </c>
      <c r="C39" s="100"/>
      <c r="D39" s="100"/>
      <c r="E39" s="100"/>
      <c r="F39" s="128">
        <f>140*1*0.6</f>
        <v>84</v>
      </c>
      <c r="G39" s="129"/>
      <c r="H39" s="129"/>
      <c r="I39" s="66"/>
      <c r="J39" s="66"/>
      <c r="K39" s="66"/>
      <c r="L39" s="29"/>
      <c r="M39" s="29"/>
      <c r="N39" s="124">
        <f t="shared" si="4"/>
        <v>84</v>
      </c>
      <c r="O39" s="124"/>
      <c r="P39" s="28"/>
      <c r="Q39" s="7">
        <f t="shared" si="5"/>
        <v>5.17</v>
      </c>
    </row>
    <row r="40" spans="1:17" x14ac:dyDescent="0.25">
      <c r="A40" s="67">
        <v>7</v>
      </c>
      <c r="B40" s="2" t="s">
        <v>428</v>
      </c>
      <c r="C40" s="100"/>
      <c r="D40" s="100"/>
      <c r="E40" s="100"/>
      <c r="F40" s="128"/>
      <c r="G40" s="129"/>
      <c r="H40" s="129"/>
      <c r="I40" s="66"/>
      <c r="J40" s="66"/>
      <c r="K40" s="66"/>
      <c r="L40" s="29"/>
      <c r="M40" s="29"/>
      <c r="N40" s="124">
        <f t="shared" si="4"/>
        <v>0</v>
      </c>
      <c r="O40" s="124"/>
      <c r="P40" s="28"/>
      <c r="Q40" s="7">
        <f t="shared" si="5"/>
        <v>0</v>
      </c>
    </row>
    <row r="41" spans="1:17" x14ac:dyDescent="0.25">
      <c r="A41" s="67">
        <v>8</v>
      </c>
      <c r="B41" s="2" t="s">
        <v>429</v>
      </c>
      <c r="C41" s="100"/>
      <c r="D41" s="100"/>
      <c r="E41" s="100"/>
      <c r="F41" s="128"/>
      <c r="G41" s="129"/>
      <c r="H41" s="129"/>
      <c r="I41" s="66"/>
      <c r="J41" s="66"/>
      <c r="K41" s="66"/>
      <c r="L41" s="29"/>
      <c r="M41" s="29"/>
      <c r="N41" s="124">
        <f t="shared" si="4"/>
        <v>0</v>
      </c>
      <c r="O41" s="124"/>
      <c r="P41" s="28"/>
      <c r="Q41" s="7">
        <f t="shared" si="5"/>
        <v>0</v>
      </c>
    </row>
    <row r="42" spans="1:17" x14ac:dyDescent="0.25">
      <c r="A42" s="67">
        <v>9</v>
      </c>
      <c r="B42" s="2" t="s">
        <v>430</v>
      </c>
      <c r="C42" s="100"/>
      <c r="D42" s="100"/>
      <c r="E42" s="100"/>
      <c r="F42" s="128"/>
      <c r="G42" s="129"/>
      <c r="H42" s="129"/>
      <c r="I42" s="66"/>
      <c r="J42" s="66"/>
      <c r="K42" s="66"/>
      <c r="L42" s="29"/>
      <c r="M42" s="29"/>
      <c r="N42" s="124">
        <f t="shared" si="4"/>
        <v>0</v>
      </c>
      <c r="O42" s="124"/>
      <c r="P42" s="28"/>
      <c r="Q42" s="7">
        <f t="shared" si="5"/>
        <v>0</v>
      </c>
    </row>
    <row r="43" spans="1:17" x14ac:dyDescent="0.25">
      <c r="A43" s="67">
        <v>10</v>
      </c>
      <c r="B43" s="2" t="s">
        <v>431</v>
      </c>
      <c r="C43" s="100">
        <f>50*1*0.8</f>
        <v>40</v>
      </c>
      <c r="D43" s="100">
        <f>10*1*0.8</f>
        <v>8</v>
      </c>
      <c r="E43" s="100">
        <f>40*1*0.8</f>
        <v>32</v>
      </c>
      <c r="F43" s="128"/>
      <c r="G43" s="129"/>
      <c r="H43" s="129"/>
      <c r="I43" s="66"/>
      <c r="J43" s="66"/>
      <c r="K43" s="66"/>
      <c r="L43" s="29"/>
      <c r="M43" s="29"/>
      <c r="N43" s="124">
        <f t="shared" si="4"/>
        <v>80</v>
      </c>
      <c r="O43" s="124"/>
      <c r="P43" s="28"/>
      <c r="Q43" s="7">
        <f t="shared" si="5"/>
        <v>5.15</v>
      </c>
    </row>
    <row r="44" spans="1:17" x14ac:dyDescent="0.25">
      <c r="A44" s="67">
        <v>11</v>
      </c>
      <c r="B44" s="2" t="s">
        <v>432</v>
      </c>
      <c r="C44" s="100"/>
      <c r="D44" s="100"/>
      <c r="E44" s="100"/>
      <c r="F44" s="128"/>
      <c r="G44" s="129"/>
      <c r="H44" s="129"/>
      <c r="I44" s="66"/>
      <c r="J44" s="66"/>
      <c r="K44" s="66"/>
      <c r="L44" s="29"/>
      <c r="M44" s="29"/>
      <c r="N44" s="124">
        <f t="shared" si="4"/>
        <v>0</v>
      </c>
      <c r="O44" s="124"/>
      <c r="P44" s="28"/>
      <c r="Q44" s="7">
        <f t="shared" si="5"/>
        <v>0</v>
      </c>
    </row>
    <row r="45" spans="1:17" x14ac:dyDescent="0.25">
      <c r="A45" s="67">
        <v>12</v>
      </c>
      <c r="B45" s="2" t="s">
        <v>433</v>
      </c>
      <c r="C45" s="100"/>
      <c r="D45" s="100"/>
      <c r="E45" s="100"/>
      <c r="F45" s="128"/>
      <c r="G45" s="129"/>
      <c r="H45" s="129"/>
      <c r="I45" s="66"/>
      <c r="J45" s="66"/>
      <c r="K45" s="66"/>
      <c r="L45" s="29"/>
      <c r="M45" s="29"/>
      <c r="N45" s="124">
        <f t="shared" si="4"/>
        <v>0</v>
      </c>
      <c r="O45" s="124"/>
      <c r="P45" s="28"/>
      <c r="Q45" s="7">
        <f t="shared" si="5"/>
        <v>0</v>
      </c>
    </row>
    <row r="46" spans="1:17" x14ac:dyDescent="0.25">
      <c r="A46" s="67">
        <v>13</v>
      </c>
      <c r="B46" s="2" t="s">
        <v>434</v>
      </c>
      <c r="C46" s="100"/>
      <c r="D46" s="100"/>
      <c r="E46" s="100"/>
      <c r="F46" s="128"/>
      <c r="G46" s="129"/>
      <c r="H46" s="129"/>
      <c r="I46" s="66"/>
      <c r="J46" s="66"/>
      <c r="K46" s="66"/>
      <c r="L46" s="29"/>
      <c r="M46" s="29"/>
      <c r="N46" s="124">
        <f t="shared" si="4"/>
        <v>0</v>
      </c>
      <c r="O46" s="124"/>
      <c r="P46" s="28"/>
      <c r="Q46" s="7">
        <f t="shared" si="5"/>
        <v>0</v>
      </c>
    </row>
    <row r="47" spans="1:17" x14ac:dyDescent="0.25">
      <c r="A47" s="67">
        <v>14</v>
      </c>
      <c r="B47" s="2" t="s">
        <v>435</v>
      </c>
      <c r="C47" s="100"/>
      <c r="D47" s="100"/>
      <c r="E47" s="100"/>
      <c r="F47" s="128"/>
      <c r="G47" s="129"/>
      <c r="H47" s="129"/>
      <c r="I47" s="66"/>
      <c r="J47" s="66"/>
      <c r="K47" s="66"/>
      <c r="L47" s="29"/>
      <c r="M47" s="29"/>
      <c r="N47" s="124">
        <f t="shared" si="4"/>
        <v>0</v>
      </c>
      <c r="O47" s="124"/>
      <c r="P47" s="28"/>
      <c r="Q47" s="7">
        <f t="shared" si="5"/>
        <v>0</v>
      </c>
    </row>
    <row r="48" spans="1:17" x14ac:dyDescent="0.25">
      <c r="A48" s="67">
        <v>15</v>
      </c>
      <c r="B48" s="2" t="s">
        <v>436</v>
      </c>
      <c r="C48" s="100">
        <f>50*1*0.6</f>
        <v>30</v>
      </c>
      <c r="D48" s="100">
        <f>10*1*0.6</f>
        <v>6</v>
      </c>
      <c r="E48" s="100">
        <f>40*1*0.6</f>
        <v>24</v>
      </c>
      <c r="F48" s="128"/>
      <c r="G48" s="129"/>
      <c r="H48" s="129"/>
      <c r="I48" s="66"/>
      <c r="J48" s="66"/>
      <c r="K48" s="66"/>
      <c r="L48" s="29"/>
      <c r="M48" s="29"/>
      <c r="N48" s="124">
        <f t="shared" si="4"/>
        <v>60</v>
      </c>
      <c r="O48" s="124"/>
      <c r="P48" s="28"/>
      <c r="Q48" s="7">
        <f t="shared" si="5"/>
        <v>5.05</v>
      </c>
    </row>
    <row r="49" spans="1:17" x14ac:dyDescent="0.25">
      <c r="A49" s="67">
        <v>16</v>
      </c>
      <c r="B49" s="2" t="s">
        <v>437</v>
      </c>
      <c r="C49" s="100"/>
      <c r="D49" s="100"/>
      <c r="E49" s="100"/>
      <c r="F49" s="128"/>
      <c r="G49" s="129"/>
      <c r="H49" s="129"/>
      <c r="I49" s="66"/>
      <c r="J49" s="66"/>
      <c r="K49" s="66"/>
      <c r="L49" s="29"/>
      <c r="M49" s="29"/>
      <c r="N49" s="124">
        <f t="shared" si="4"/>
        <v>0</v>
      </c>
      <c r="O49" s="124"/>
      <c r="P49" s="28"/>
      <c r="Q49" s="7">
        <f t="shared" si="5"/>
        <v>0</v>
      </c>
    </row>
    <row r="50" spans="1:17" x14ac:dyDescent="0.25">
      <c r="A50" s="67">
        <v>17</v>
      </c>
      <c r="B50" s="2" t="s">
        <v>438</v>
      </c>
      <c r="C50" s="100"/>
      <c r="D50" s="100"/>
      <c r="E50" s="100">
        <f>140*1*0.6</f>
        <v>84</v>
      </c>
      <c r="F50" s="128"/>
      <c r="G50" s="129"/>
      <c r="H50" s="129"/>
      <c r="I50" s="66"/>
      <c r="J50" s="66"/>
      <c r="K50" s="66"/>
      <c r="L50" s="29"/>
      <c r="M50" s="29"/>
      <c r="N50" s="3">
        <f t="shared" si="2"/>
        <v>84</v>
      </c>
      <c r="O50" s="3"/>
      <c r="P50" s="28"/>
      <c r="Q50" s="7">
        <f t="shared" si="3"/>
        <v>5.17</v>
      </c>
    </row>
    <row r="51" spans="1:17" x14ac:dyDescent="0.25">
      <c r="A51" s="67">
        <v>18</v>
      </c>
      <c r="B51" s="2" t="s">
        <v>439</v>
      </c>
      <c r="C51" s="100"/>
      <c r="D51" s="100"/>
      <c r="E51" s="100"/>
      <c r="F51" s="128"/>
      <c r="G51" s="129"/>
      <c r="H51" s="129"/>
      <c r="I51" s="66"/>
      <c r="J51" s="66"/>
      <c r="K51" s="66"/>
      <c r="L51" s="29"/>
      <c r="M51" s="29"/>
      <c r="N51" s="3">
        <f t="shared" si="2"/>
        <v>0</v>
      </c>
      <c r="O51" s="3"/>
      <c r="P51" s="28"/>
      <c r="Q51" s="7">
        <f t="shared" si="3"/>
        <v>0</v>
      </c>
    </row>
    <row r="52" spans="1:17" x14ac:dyDescent="0.25">
      <c r="A52" s="67">
        <v>19</v>
      </c>
      <c r="B52" s="2" t="s">
        <v>440</v>
      </c>
      <c r="C52" s="100"/>
      <c r="D52" s="100"/>
      <c r="E52" s="100"/>
      <c r="F52" s="128"/>
      <c r="G52" s="129"/>
      <c r="H52" s="129"/>
      <c r="I52" s="66"/>
      <c r="J52" s="66"/>
      <c r="K52" s="66"/>
      <c r="L52" s="29"/>
      <c r="M52" s="29"/>
      <c r="N52" s="3">
        <f t="shared" si="2"/>
        <v>0</v>
      </c>
      <c r="O52" s="3"/>
      <c r="P52" s="28"/>
      <c r="Q52" s="7">
        <f t="shared" si="3"/>
        <v>0</v>
      </c>
    </row>
    <row r="53" spans="1:17" x14ac:dyDescent="0.25">
      <c r="A53" s="67">
        <v>20</v>
      </c>
      <c r="B53" s="2" t="s">
        <v>441</v>
      </c>
      <c r="C53" s="100"/>
      <c r="D53" s="100"/>
      <c r="E53" s="100"/>
      <c r="F53" s="128"/>
      <c r="G53" s="129"/>
      <c r="H53" s="129"/>
      <c r="I53" s="66"/>
      <c r="J53" s="66"/>
      <c r="K53" s="66"/>
      <c r="L53" s="29"/>
      <c r="M53" s="29"/>
      <c r="N53" s="3">
        <f t="shared" si="2"/>
        <v>0</v>
      </c>
      <c r="O53" s="3"/>
      <c r="P53" s="28"/>
      <c r="Q53" s="7">
        <f t="shared" si="3"/>
        <v>0</v>
      </c>
    </row>
    <row r="54" spans="1:17" x14ac:dyDescent="0.25">
      <c r="A54" s="67">
        <v>21</v>
      </c>
      <c r="B54" s="2" t="s">
        <v>442</v>
      </c>
      <c r="C54" s="100"/>
      <c r="D54" s="100"/>
      <c r="E54" s="100"/>
      <c r="F54" s="128"/>
      <c r="G54" s="129"/>
      <c r="H54" s="129"/>
      <c r="I54" s="66"/>
      <c r="J54" s="66"/>
      <c r="K54" s="66"/>
      <c r="L54" s="29"/>
      <c r="M54" s="29"/>
      <c r="N54" s="3">
        <f t="shared" si="2"/>
        <v>0</v>
      </c>
      <c r="O54" s="3"/>
      <c r="P54" s="28"/>
      <c r="Q54" s="7">
        <f t="shared" si="3"/>
        <v>0</v>
      </c>
    </row>
    <row r="55" spans="1:17" x14ac:dyDescent="0.25">
      <c r="A55" s="67">
        <v>22</v>
      </c>
      <c r="B55" s="2" t="s">
        <v>443</v>
      </c>
      <c r="C55" s="100"/>
      <c r="D55" s="100"/>
      <c r="E55" s="100"/>
      <c r="F55" s="128">
        <f>140*1*0.6</f>
        <v>84</v>
      </c>
      <c r="G55" s="129"/>
      <c r="H55" s="129"/>
      <c r="I55" s="66"/>
      <c r="J55" s="66"/>
      <c r="K55" s="66"/>
      <c r="L55" s="29"/>
      <c r="M55" s="29"/>
      <c r="N55" s="3">
        <f t="shared" si="2"/>
        <v>84</v>
      </c>
      <c r="O55" s="3"/>
      <c r="P55" s="28"/>
      <c r="Q55" s="7">
        <f t="shared" si="3"/>
        <v>5.17</v>
      </c>
    </row>
    <row r="56" spans="1:17" x14ac:dyDescent="0.25">
      <c r="A56" s="67">
        <v>23</v>
      </c>
      <c r="B56" s="2" t="s">
        <v>444</v>
      </c>
      <c r="C56" s="100"/>
      <c r="D56" s="100"/>
      <c r="E56" s="100"/>
      <c r="F56" s="128"/>
      <c r="G56" s="129"/>
      <c r="H56" s="129"/>
      <c r="I56" s="66"/>
      <c r="J56" s="66"/>
      <c r="K56" s="66"/>
      <c r="L56" s="29"/>
      <c r="M56" s="29"/>
      <c r="N56" s="3">
        <f t="shared" si="2"/>
        <v>0</v>
      </c>
      <c r="O56" s="3"/>
      <c r="P56" s="28"/>
      <c r="Q56" s="7">
        <f t="shared" si="3"/>
        <v>0</v>
      </c>
    </row>
    <row r="57" spans="1:17" x14ac:dyDescent="0.25">
      <c r="A57" s="67">
        <v>24</v>
      </c>
      <c r="B57" s="2" t="s">
        <v>445</v>
      </c>
      <c r="C57" s="100"/>
      <c r="D57" s="100"/>
      <c r="E57" s="100"/>
      <c r="F57" s="128"/>
      <c r="G57" s="129"/>
      <c r="H57" s="129"/>
      <c r="I57" s="66"/>
      <c r="J57" s="66"/>
      <c r="K57" s="66"/>
      <c r="L57" s="29"/>
      <c r="M57" s="29"/>
      <c r="N57" s="3">
        <f t="shared" si="2"/>
        <v>0</v>
      </c>
      <c r="O57" s="3"/>
      <c r="P57" s="28"/>
      <c r="Q57" s="7">
        <f t="shared" si="3"/>
        <v>0</v>
      </c>
    </row>
    <row r="58" spans="1:17" x14ac:dyDescent="0.25">
      <c r="A58" s="67">
        <v>25</v>
      </c>
      <c r="B58" s="2" t="s">
        <v>446</v>
      </c>
      <c r="C58" s="100"/>
      <c r="D58" s="100"/>
      <c r="E58" s="100"/>
      <c r="F58" s="128"/>
      <c r="G58" s="129"/>
      <c r="H58" s="129"/>
      <c r="I58" s="66"/>
      <c r="J58" s="66"/>
      <c r="K58" s="66"/>
      <c r="L58" s="29"/>
      <c r="M58" s="29"/>
      <c r="N58" s="3">
        <f t="shared" si="2"/>
        <v>0</v>
      </c>
      <c r="O58" s="3"/>
      <c r="P58" s="28"/>
      <c r="Q58" s="7">
        <f t="shared" si="3"/>
        <v>0</v>
      </c>
    </row>
    <row r="59" spans="1:17" x14ac:dyDescent="0.25">
      <c r="A59" s="67">
        <v>26</v>
      </c>
      <c r="B59" s="2" t="s">
        <v>447</v>
      </c>
      <c r="C59" s="100"/>
      <c r="D59" s="100"/>
      <c r="E59" s="100"/>
      <c r="F59" s="128"/>
      <c r="G59" s="129"/>
      <c r="H59" s="129"/>
      <c r="I59" s="66"/>
      <c r="J59" s="66"/>
      <c r="K59" s="66"/>
      <c r="L59" s="29"/>
      <c r="M59" s="29"/>
      <c r="N59" s="3">
        <f t="shared" si="2"/>
        <v>0</v>
      </c>
      <c r="O59" s="3"/>
      <c r="P59" s="28"/>
      <c r="Q59" s="7">
        <f t="shared" si="3"/>
        <v>0</v>
      </c>
    </row>
    <row r="60" spans="1:17" x14ac:dyDescent="0.25">
      <c r="A60" s="67">
        <v>27</v>
      </c>
      <c r="B60" s="2" t="s">
        <v>448</v>
      </c>
      <c r="C60" s="100"/>
      <c r="D60" s="100"/>
      <c r="E60" s="100"/>
      <c r="F60" s="128">
        <f>140*1*0.8</f>
        <v>112</v>
      </c>
      <c r="G60" s="129"/>
      <c r="H60" s="129"/>
      <c r="I60" s="66"/>
      <c r="J60" s="66"/>
      <c r="K60" s="66"/>
      <c r="L60" s="29"/>
      <c r="M60" s="29"/>
      <c r="N60" s="3">
        <f t="shared" si="2"/>
        <v>112</v>
      </c>
      <c r="O60" s="3"/>
      <c r="P60" s="28"/>
      <c r="Q60" s="7">
        <f t="shared" si="3"/>
        <v>5.31</v>
      </c>
    </row>
    <row r="61" spans="1:17" x14ac:dyDescent="0.25">
      <c r="A61" s="67">
        <v>28</v>
      </c>
      <c r="B61" s="124" t="s">
        <v>553</v>
      </c>
      <c r="C61" s="100"/>
      <c r="D61" s="100"/>
      <c r="E61" s="100"/>
      <c r="F61" s="128"/>
      <c r="G61" s="129"/>
      <c r="H61" s="129"/>
      <c r="I61" s="66"/>
      <c r="J61" s="66"/>
      <c r="K61" s="66"/>
      <c r="L61" s="29"/>
      <c r="M61" s="29"/>
      <c r="N61" s="3">
        <f t="shared" si="2"/>
        <v>0</v>
      </c>
      <c r="O61" s="3"/>
      <c r="P61" s="28"/>
      <c r="Q61" s="7">
        <f t="shared" si="3"/>
        <v>0</v>
      </c>
    </row>
    <row r="62" spans="1:17" x14ac:dyDescent="0.25">
      <c r="A62" s="67">
        <v>29</v>
      </c>
      <c r="B62" s="124"/>
      <c r="C62" s="100"/>
      <c r="D62" s="100"/>
      <c r="E62" s="100"/>
      <c r="F62" s="128"/>
      <c r="G62" s="129"/>
      <c r="H62" s="129"/>
      <c r="I62" s="66"/>
      <c r="J62" s="66"/>
      <c r="K62" s="66"/>
      <c r="L62" s="29"/>
      <c r="M62" s="29"/>
      <c r="N62" s="3">
        <f t="shared" si="2"/>
        <v>0</v>
      </c>
      <c r="O62" s="3"/>
      <c r="P62" s="28"/>
      <c r="Q62" s="7">
        <f t="shared" si="3"/>
        <v>0</v>
      </c>
    </row>
    <row r="63" spans="1:17" x14ac:dyDescent="0.25">
      <c r="A63" s="67">
        <v>30</v>
      </c>
      <c r="B63" s="124"/>
      <c r="C63" s="100"/>
      <c r="D63" s="100"/>
      <c r="E63" s="100"/>
      <c r="F63" s="128"/>
      <c r="G63" s="129"/>
      <c r="H63" s="129"/>
      <c r="I63" s="66"/>
      <c r="J63" s="66"/>
      <c r="K63" s="66"/>
      <c r="L63" s="29"/>
      <c r="M63" s="29"/>
      <c r="N63" s="3">
        <f t="shared" si="2"/>
        <v>0</v>
      </c>
      <c r="O63" s="3"/>
      <c r="P63" s="28"/>
      <c r="Q63" s="7">
        <f t="shared" si="3"/>
        <v>0</v>
      </c>
    </row>
    <row r="64" spans="1:17" x14ac:dyDescent="0.25">
      <c r="B64" s="1" t="s">
        <v>18</v>
      </c>
      <c r="C64">
        <v>50</v>
      </c>
      <c r="D64">
        <v>10</v>
      </c>
      <c r="E64">
        <v>40</v>
      </c>
      <c r="F64">
        <v>140</v>
      </c>
      <c r="G64">
        <v>50</v>
      </c>
      <c r="H64">
        <v>50</v>
      </c>
      <c r="I64">
        <v>300</v>
      </c>
      <c r="J64">
        <v>200</v>
      </c>
      <c r="K64">
        <v>100</v>
      </c>
      <c r="P64" s="22">
        <v>0.6</v>
      </c>
    </row>
    <row r="65" spans="2:16" x14ac:dyDescent="0.25">
      <c r="O65" t="s">
        <v>48</v>
      </c>
      <c r="P65" s="27">
        <v>0.2</v>
      </c>
    </row>
    <row r="68" spans="2:16" x14ac:dyDescent="0.25">
      <c r="C68" t="s">
        <v>16</v>
      </c>
      <c r="D68" t="s">
        <v>17</v>
      </c>
      <c r="L68" s="11"/>
    </row>
    <row r="69" spans="2:16" x14ac:dyDescent="0.25">
      <c r="B69" t="s">
        <v>13</v>
      </c>
      <c r="C69">
        <v>600</v>
      </c>
      <c r="D69">
        <f>D71*1.5</f>
        <v>7.5</v>
      </c>
      <c r="L69" s="12"/>
    </row>
    <row r="70" spans="2:16" x14ac:dyDescent="0.25">
      <c r="B70" t="s">
        <v>14</v>
      </c>
      <c r="C70">
        <v>300</v>
      </c>
      <c r="D70">
        <f>(D69-D71)*0.5+D71</f>
        <v>6.25</v>
      </c>
    </row>
    <row r="71" spans="2:16" x14ac:dyDescent="0.25">
      <c r="B71" t="s">
        <v>15</v>
      </c>
      <c r="C71">
        <v>50</v>
      </c>
      <c r="D71">
        <v>5</v>
      </c>
    </row>
    <row r="73" spans="2:16" x14ac:dyDescent="0.25">
      <c r="B73" t="s">
        <v>157</v>
      </c>
    </row>
    <row r="75" spans="2:16" x14ac:dyDescent="0.25">
      <c r="B75" t="s">
        <v>159</v>
      </c>
    </row>
    <row r="76" spans="2:16" x14ac:dyDescent="0.25">
      <c r="B76" t="s">
        <v>526</v>
      </c>
    </row>
    <row r="77" spans="2:16" x14ac:dyDescent="0.25">
      <c r="B77" t="s">
        <v>527</v>
      </c>
    </row>
    <row r="78" spans="2:16" x14ac:dyDescent="0.25">
      <c r="B78" t="s">
        <v>528</v>
      </c>
    </row>
    <row r="79" spans="2:16" x14ac:dyDescent="0.25">
      <c r="B79" t="s">
        <v>529</v>
      </c>
    </row>
    <row r="80" spans="2:16" x14ac:dyDescent="0.25">
      <c r="B80" t="s">
        <v>530</v>
      </c>
    </row>
    <row r="81" spans="2:2" x14ac:dyDescent="0.25">
      <c r="B81" t="s">
        <v>531</v>
      </c>
    </row>
    <row r="83" spans="2:2" x14ac:dyDescent="0.25">
      <c r="B83" t="s">
        <v>219</v>
      </c>
    </row>
    <row r="84" spans="2:2" x14ac:dyDescent="0.25">
      <c r="B84" t="s">
        <v>532</v>
      </c>
    </row>
    <row r="85" spans="2:2" x14ac:dyDescent="0.25">
      <c r="B85" t="s">
        <v>533</v>
      </c>
    </row>
    <row r="86" spans="2:2" x14ac:dyDescent="0.25">
      <c r="B86" t="s">
        <v>534</v>
      </c>
    </row>
    <row r="87" spans="2:2" x14ac:dyDescent="0.25">
      <c r="B87" t="s">
        <v>535</v>
      </c>
    </row>
    <row r="88" spans="2:2" x14ac:dyDescent="0.25">
      <c r="B88" t="s">
        <v>536</v>
      </c>
    </row>
    <row r="89" spans="2:2" x14ac:dyDescent="0.25">
      <c r="B89" t="s">
        <v>537</v>
      </c>
    </row>
  </sheetData>
  <phoneticPr fontId="8" type="noConversion"/>
  <conditionalFormatting sqref="Q34:Q63 Q3:Q32">
    <cfRule type="colorScale" priority="1">
      <colorScale>
        <cfvo type="num" val="0"/>
        <cfvo type="num" val="$D$71"/>
        <cfvo type="num" val="$D$69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horizontalDpi="180" verticalDpi="18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L96"/>
  <sheetViews>
    <sheetView topLeftCell="A22" workbookViewId="0">
      <selection activeCell="C40" sqref="C40"/>
    </sheetView>
  </sheetViews>
  <sheetFormatPr defaultRowHeight="15" x14ac:dyDescent="0.25"/>
  <cols>
    <col min="2" max="2" width="43" bestFit="1" customWidth="1"/>
    <col min="3" max="3" width="20.28515625" customWidth="1"/>
    <col min="4" max="4" width="14.140625" customWidth="1"/>
    <col min="5" max="5" width="10.42578125" customWidth="1"/>
    <col min="6" max="7" width="19.140625" customWidth="1"/>
    <col min="8" max="9" width="10.28515625" bestFit="1" customWidth="1"/>
    <col min="10" max="10" width="10.28515625" customWidth="1"/>
    <col min="11" max="11" width="11.85546875" customWidth="1"/>
    <col min="12" max="16" width="10.28515625" bestFit="1" customWidth="1"/>
  </cols>
  <sheetData>
    <row r="1" spans="1:11" x14ac:dyDescent="0.25">
      <c r="B1" t="s">
        <v>69</v>
      </c>
    </row>
    <row r="2" spans="1:11" x14ac:dyDescent="0.25">
      <c r="A2" s="67"/>
      <c r="B2" s="65" t="s">
        <v>20</v>
      </c>
      <c r="C2" s="65" t="s">
        <v>70</v>
      </c>
      <c r="D2" s="65" t="s">
        <v>71</v>
      </c>
      <c r="E2" s="65" t="s">
        <v>418</v>
      </c>
      <c r="F2" s="65" t="s">
        <v>341</v>
      </c>
      <c r="G2" s="65" t="s">
        <v>48</v>
      </c>
      <c r="H2" s="10" t="s">
        <v>0</v>
      </c>
      <c r="I2" s="10" t="s">
        <v>1</v>
      </c>
      <c r="J2" s="10" t="s">
        <v>47</v>
      </c>
      <c r="K2" s="10" t="s">
        <v>12</v>
      </c>
    </row>
    <row r="3" spans="1:11" x14ac:dyDescent="0.25">
      <c r="A3" s="67">
        <v>1</v>
      </c>
      <c r="B3" s="2" t="s">
        <v>466</v>
      </c>
      <c r="C3" s="6">
        <f>120*(0.7*0.9*0.6)</f>
        <v>45.36</v>
      </c>
      <c r="D3" s="6"/>
      <c r="E3" s="6"/>
      <c r="F3" s="29"/>
      <c r="G3" s="29"/>
      <c r="H3" s="124">
        <f t="shared" ref="H3:H32" si="0">SUM(C3:G3)</f>
        <v>45.36</v>
      </c>
      <c r="I3" s="124"/>
      <c r="J3" s="28"/>
      <c r="K3" s="7">
        <f t="shared" ref="K3:K32" si="1">NormalizeResult($C$71,$D$71,$C$70,$D$70,$C$69,$D$69,H3)+I3+IF(J3&gt;$J$64,J3*$J$65,0)</f>
        <v>4.5359999999999996</v>
      </c>
    </row>
    <row r="4" spans="1:11" x14ac:dyDescent="0.25">
      <c r="A4" s="67">
        <v>2</v>
      </c>
      <c r="B4" s="2" t="s">
        <v>478</v>
      </c>
      <c r="C4" s="6">
        <f>128*0.8*0.6</f>
        <v>61.44</v>
      </c>
      <c r="D4" s="6"/>
      <c r="E4" s="6"/>
      <c r="F4" s="29"/>
      <c r="G4" s="29"/>
      <c r="H4" s="124">
        <f t="shared" si="0"/>
        <v>61.44</v>
      </c>
      <c r="I4" s="124"/>
      <c r="J4" s="28"/>
      <c r="K4" s="7">
        <f t="shared" si="1"/>
        <v>6.0431999999999997</v>
      </c>
    </row>
    <row r="5" spans="1:11" x14ac:dyDescent="0.25">
      <c r="A5" s="67">
        <v>3</v>
      </c>
      <c r="B5" t="s">
        <v>449</v>
      </c>
      <c r="C5" s="6">
        <f>120*0.7*(0.8*1.1)</f>
        <v>73.920000000000016</v>
      </c>
      <c r="D5" s="6"/>
      <c r="E5" s="6"/>
      <c r="F5" s="29"/>
      <c r="G5" s="29"/>
      <c r="H5" s="124">
        <f>SUM(C5:G5)</f>
        <v>73.920000000000016</v>
      </c>
      <c r="I5" s="3"/>
      <c r="J5" s="28"/>
      <c r="K5" s="7">
        <f t="shared" si="1"/>
        <v>6.4176000000000002</v>
      </c>
    </row>
    <row r="6" spans="1:11" x14ac:dyDescent="0.25">
      <c r="A6" s="67">
        <v>4</v>
      </c>
      <c r="B6" s="2" t="s">
        <v>479</v>
      </c>
      <c r="C6" s="6"/>
      <c r="D6" s="6"/>
      <c r="E6" s="6"/>
      <c r="F6" s="29"/>
      <c r="G6" s="29"/>
      <c r="H6" s="124">
        <f t="shared" si="0"/>
        <v>0</v>
      </c>
      <c r="I6" s="124"/>
      <c r="J6" s="28"/>
      <c r="K6" s="7">
        <f t="shared" si="1"/>
        <v>0</v>
      </c>
    </row>
    <row r="7" spans="1:11" x14ac:dyDescent="0.25">
      <c r="A7" s="67">
        <v>5</v>
      </c>
      <c r="B7" s="2" t="s">
        <v>480</v>
      </c>
      <c r="C7" s="6"/>
      <c r="D7" s="6"/>
      <c r="E7" s="6"/>
      <c r="F7" s="29"/>
      <c r="G7" s="29"/>
      <c r="H7" s="124">
        <f t="shared" si="0"/>
        <v>0</v>
      </c>
      <c r="I7" s="124"/>
      <c r="J7" s="28"/>
      <c r="K7" s="7">
        <f t="shared" si="1"/>
        <v>0</v>
      </c>
    </row>
    <row r="8" spans="1:11" x14ac:dyDescent="0.25">
      <c r="A8" s="67">
        <v>6</v>
      </c>
      <c r="B8" s="2" t="s">
        <v>483</v>
      </c>
      <c r="C8" s="6">
        <f>120*0.7*(0.8*1)</f>
        <v>67.2</v>
      </c>
      <c r="D8" s="6"/>
      <c r="E8" s="6"/>
      <c r="F8" s="29"/>
      <c r="G8" s="29"/>
      <c r="H8" s="124">
        <f>SUM(C8:G8)</f>
        <v>67.2</v>
      </c>
      <c r="I8" s="124"/>
      <c r="J8" s="28"/>
      <c r="K8" s="7">
        <f t="shared" si="1"/>
        <v>6.2160000000000002</v>
      </c>
    </row>
    <row r="9" spans="1:11" x14ac:dyDescent="0.25">
      <c r="A9" s="67">
        <v>7</v>
      </c>
      <c r="B9" s="2" t="s">
        <v>481</v>
      </c>
      <c r="C9" s="6">
        <f>120*(0.7*1*0.6+0.3*0.5*0.6)</f>
        <v>61.2</v>
      </c>
      <c r="D9" s="6"/>
      <c r="E9" s="6"/>
      <c r="F9" s="29"/>
      <c r="G9" s="29"/>
      <c r="H9" s="124">
        <f t="shared" si="0"/>
        <v>61.2</v>
      </c>
      <c r="I9" s="124"/>
      <c r="J9" s="28"/>
      <c r="K9" s="7">
        <f t="shared" si="1"/>
        <v>6.0360000000000005</v>
      </c>
    </row>
    <row r="10" spans="1:11" x14ac:dyDescent="0.25">
      <c r="A10" s="67">
        <v>8</v>
      </c>
      <c r="B10" s="2" t="s">
        <v>482</v>
      </c>
      <c r="C10" s="6"/>
      <c r="D10" s="6"/>
      <c r="E10" s="6"/>
      <c r="F10" s="29"/>
      <c r="G10" s="29"/>
      <c r="H10" s="124">
        <f t="shared" si="0"/>
        <v>0</v>
      </c>
      <c r="I10" s="124"/>
      <c r="J10" s="28"/>
      <c r="K10" s="7">
        <f t="shared" si="1"/>
        <v>0</v>
      </c>
    </row>
    <row r="11" spans="1:11" x14ac:dyDescent="0.25">
      <c r="A11" s="67">
        <v>9</v>
      </c>
      <c r="B11" s="2" t="s">
        <v>484</v>
      </c>
      <c r="C11" s="6"/>
      <c r="D11" s="6">
        <f>100*(0.8*1.1+0.05*1)</f>
        <v>93.000000000000014</v>
      </c>
      <c r="E11" s="6">
        <f>200*0.6*1</f>
        <v>120</v>
      </c>
      <c r="F11" s="29"/>
      <c r="G11" s="29"/>
      <c r="H11" s="124">
        <f t="shared" si="0"/>
        <v>213</v>
      </c>
      <c r="I11" s="124"/>
      <c r="J11" s="28"/>
      <c r="K11" s="7">
        <f t="shared" si="1"/>
        <v>8.6035714285714278</v>
      </c>
    </row>
    <row r="12" spans="1:11" x14ac:dyDescent="0.25">
      <c r="A12" s="67">
        <v>10</v>
      </c>
      <c r="B12" s="2" t="s">
        <v>485</v>
      </c>
      <c r="C12" s="6" t="s">
        <v>578</v>
      </c>
      <c r="D12" s="6"/>
      <c r="E12" s="6"/>
      <c r="F12" s="29"/>
      <c r="G12" s="29"/>
      <c r="H12" s="124">
        <f t="shared" si="0"/>
        <v>0</v>
      </c>
      <c r="I12" s="124"/>
      <c r="J12" s="28"/>
      <c r="K12" s="7">
        <f t="shared" si="1"/>
        <v>0</v>
      </c>
    </row>
    <row r="13" spans="1:11" x14ac:dyDescent="0.25">
      <c r="A13" s="67">
        <v>11</v>
      </c>
      <c r="B13" s="2" t="s">
        <v>486</v>
      </c>
      <c r="C13" s="6">
        <f>120*0.5*1.1</f>
        <v>66</v>
      </c>
      <c r="D13" s="6"/>
      <c r="E13" s="6"/>
      <c r="F13" s="29"/>
      <c r="G13" s="29"/>
      <c r="H13" s="124">
        <f t="shared" si="0"/>
        <v>66</v>
      </c>
      <c r="I13" s="124"/>
      <c r="J13" s="28"/>
      <c r="K13" s="7">
        <f t="shared" si="1"/>
        <v>6.18</v>
      </c>
    </row>
    <row r="14" spans="1:11" x14ac:dyDescent="0.25">
      <c r="A14" s="67">
        <v>12</v>
      </c>
      <c r="B14" s="2" t="s">
        <v>487</v>
      </c>
      <c r="C14" s="6"/>
      <c r="D14" s="6"/>
      <c r="E14" s="6"/>
      <c r="F14" s="29"/>
      <c r="G14" s="29"/>
      <c r="H14" s="124">
        <f t="shared" si="0"/>
        <v>0</v>
      </c>
      <c r="I14" s="124"/>
      <c r="J14" s="28"/>
      <c r="K14" s="7">
        <f t="shared" si="1"/>
        <v>0</v>
      </c>
    </row>
    <row r="15" spans="1:11" x14ac:dyDescent="0.25">
      <c r="A15" s="67">
        <v>13</v>
      </c>
      <c r="B15" s="2" t="s">
        <v>488</v>
      </c>
      <c r="C15" s="6">
        <f>120*0.7*(0.8*1+0.2*0.8)</f>
        <v>80.64</v>
      </c>
      <c r="D15" s="6"/>
      <c r="E15" s="6"/>
      <c r="F15" s="29"/>
      <c r="G15" s="29"/>
      <c r="H15" s="124">
        <f t="shared" si="0"/>
        <v>80.64</v>
      </c>
      <c r="I15" s="124"/>
      <c r="J15" s="28"/>
      <c r="K15" s="7">
        <f t="shared" si="1"/>
        <v>6.6192000000000002</v>
      </c>
    </row>
    <row r="16" spans="1:11" x14ac:dyDescent="0.25">
      <c r="A16" s="67">
        <v>14</v>
      </c>
      <c r="B16" s="2" t="s">
        <v>473</v>
      </c>
      <c r="C16" s="6"/>
      <c r="D16" s="6">
        <f>100*0.7*0.6</f>
        <v>42</v>
      </c>
      <c r="E16" s="6"/>
      <c r="F16" s="29"/>
      <c r="G16" s="29"/>
      <c r="H16" s="124">
        <f t="shared" si="0"/>
        <v>42</v>
      </c>
      <c r="I16" s="124"/>
      <c r="J16" s="28"/>
      <c r="K16" s="7">
        <f t="shared" si="1"/>
        <v>4.2</v>
      </c>
    </row>
    <row r="17" spans="1:12" x14ac:dyDescent="0.25">
      <c r="A17" s="67">
        <v>15</v>
      </c>
      <c r="B17" s="2" t="s">
        <v>474</v>
      </c>
      <c r="C17" s="6"/>
      <c r="D17" s="6"/>
      <c r="E17" s="6"/>
      <c r="F17" s="29"/>
      <c r="G17" s="29"/>
      <c r="H17" s="124">
        <f t="shared" si="0"/>
        <v>0</v>
      </c>
      <c r="I17" s="124"/>
      <c r="J17" s="28"/>
      <c r="K17" s="7">
        <f t="shared" si="1"/>
        <v>0</v>
      </c>
    </row>
    <row r="18" spans="1:12" x14ac:dyDescent="0.25">
      <c r="A18" s="67">
        <v>16</v>
      </c>
      <c r="B18" s="2" t="s">
        <v>489</v>
      </c>
      <c r="C18" s="6"/>
      <c r="D18" s="6">
        <f>100*1*0.6</f>
        <v>60</v>
      </c>
      <c r="E18" s="6">
        <f>200*1*0.6</f>
        <v>120</v>
      </c>
      <c r="F18" s="29"/>
      <c r="G18" s="29"/>
      <c r="H18" s="124">
        <f t="shared" si="0"/>
        <v>180</v>
      </c>
      <c r="I18" s="124"/>
      <c r="J18" s="28"/>
      <c r="K18" s="7">
        <f t="shared" si="1"/>
        <v>8.25</v>
      </c>
      <c r="L18" s="38"/>
    </row>
    <row r="19" spans="1:12" x14ac:dyDescent="0.25">
      <c r="A19" s="67">
        <v>17</v>
      </c>
      <c r="B19" s="2" t="s">
        <v>475</v>
      </c>
      <c r="C19" s="6"/>
      <c r="D19" s="6"/>
      <c r="E19" s="6"/>
      <c r="F19" s="29"/>
      <c r="G19" s="29"/>
      <c r="H19" s="124">
        <f t="shared" si="0"/>
        <v>0</v>
      </c>
      <c r="I19" s="124"/>
      <c r="J19" s="28"/>
      <c r="K19" s="7">
        <f t="shared" si="1"/>
        <v>0</v>
      </c>
    </row>
    <row r="20" spans="1:12" x14ac:dyDescent="0.25">
      <c r="A20" s="67">
        <v>18</v>
      </c>
      <c r="B20" s="2" t="s">
        <v>490</v>
      </c>
      <c r="C20" s="6"/>
      <c r="D20" s="6"/>
      <c r="E20" s="6"/>
      <c r="F20" s="29"/>
      <c r="G20" s="29"/>
      <c r="H20" s="124">
        <f t="shared" si="0"/>
        <v>0</v>
      </c>
      <c r="I20" s="124"/>
      <c r="J20" s="28"/>
      <c r="K20" s="7">
        <f t="shared" si="1"/>
        <v>0</v>
      </c>
    </row>
    <row r="21" spans="1:12" x14ac:dyDescent="0.25">
      <c r="A21" s="67">
        <v>19</v>
      </c>
      <c r="B21" s="2" t="s">
        <v>491</v>
      </c>
      <c r="C21" s="6"/>
      <c r="D21" s="6"/>
      <c r="E21" s="6"/>
      <c r="F21" s="29"/>
      <c r="G21" s="29"/>
      <c r="H21" s="124">
        <f t="shared" si="0"/>
        <v>0</v>
      </c>
      <c r="I21" s="124"/>
      <c r="J21" s="28"/>
      <c r="K21" s="7">
        <f t="shared" si="1"/>
        <v>0</v>
      </c>
    </row>
    <row r="22" spans="1:12" x14ac:dyDescent="0.25">
      <c r="A22" s="67">
        <v>20</v>
      </c>
      <c r="B22" s="2" t="s">
        <v>477</v>
      </c>
      <c r="C22" s="6"/>
      <c r="D22" s="6"/>
      <c r="E22" s="6"/>
      <c r="F22" s="29"/>
      <c r="G22" s="29"/>
      <c r="H22" s="124">
        <f t="shared" si="0"/>
        <v>0</v>
      </c>
      <c r="I22" s="124"/>
      <c r="J22" s="28"/>
      <c r="K22" s="7">
        <f t="shared" si="1"/>
        <v>0</v>
      </c>
    </row>
    <row r="23" spans="1:12" x14ac:dyDescent="0.25">
      <c r="A23" s="67">
        <v>21</v>
      </c>
      <c r="B23" s="2" t="s">
        <v>492</v>
      </c>
      <c r="C23" s="6"/>
      <c r="D23" s="6">
        <f>100*0.5*0.6</f>
        <v>30</v>
      </c>
      <c r="E23" s="6"/>
      <c r="F23" s="29"/>
      <c r="G23" s="29"/>
      <c r="H23" s="124">
        <f t="shared" si="0"/>
        <v>30</v>
      </c>
      <c r="I23" s="124"/>
      <c r="J23" s="28"/>
      <c r="K23" s="7">
        <f t="shared" si="1"/>
        <v>3</v>
      </c>
    </row>
    <row r="24" spans="1:12" x14ac:dyDescent="0.25">
      <c r="A24" s="67">
        <v>22</v>
      </c>
      <c r="B24" s="2" t="s">
        <v>493</v>
      </c>
      <c r="C24" s="6">
        <f>120*(0.7*(0.3*1.1)+0.7*(0.4*1))</f>
        <v>61.319999999999986</v>
      </c>
      <c r="D24" s="6"/>
      <c r="E24" s="6"/>
      <c r="F24" s="29"/>
      <c r="G24" s="29"/>
      <c r="H24" s="124">
        <f t="shared" si="0"/>
        <v>61.319999999999986</v>
      </c>
      <c r="I24" s="124"/>
      <c r="J24" s="28"/>
      <c r="K24" s="7">
        <f t="shared" si="1"/>
        <v>6.0395999999999992</v>
      </c>
    </row>
    <row r="25" spans="1:12" x14ac:dyDescent="0.25">
      <c r="A25" s="67">
        <v>23</v>
      </c>
      <c r="B25" s="2" t="s">
        <v>494</v>
      </c>
      <c r="C25" s="6"/>
      <c r="D25" s="6"/>
      <c r="E25" s="6"/>
      <c r="F25" s="29"/>
      <c r="G25" s="29"/>
      <c r="H25" s="124">
        <f t="shared" si="0"/>
        <v>0</v>
      </c>
      <c r="I25" s="124"/>
      <c r="J25" s="28"/>
      <c r="K25" s="7">
        <f t="shared" si="1"/>
        <v>0</v>
      </c>
    </row>
    <row r="26" spans="1:12" x14ac:dyDescent="0.25">
      <c r="A26" s="67">
        <v>24</v>
      </c>
      <c r="B26" s="2" t="s">
        <v>476</v>
      </c>
      <c r="C26" s="6"/>
      <c r="D26" s="6"/>
      <c r="E26" s="6"/>
      <c r="F26" s="29"/>
      <c r="G26" s="29"/>
      <c r="H26" s="124">
        <f t="shared" si="0"/>
        <v>0</v>
      </c>
      <c r="I26" s="124"/>
      <c r="J26" s="28"/>
      <c r="K26" s="7">
        <f t="shared" si="1"/>
        <v>0</v>
      </c>
    </row>
    <row r="27" spans="1:12" x14ac:dyDescent="0.25">
      <c r="A27" s="67">
        <v>25</v>
      </c>
      <c r="B27" s="2" t="s">
        <v>495</v>
      </c>
      <c r="C27" s="6"/>
      <c r="D27" s="6">
        <f>100*(0.65*1+0.15*0.6)</f>
        <v>74</v>
      </c>
      <c r="E27" s="6">
        <f>200*0.5*0.6</f>
        <v>60</v>
      </c>
      <c r="F27" s="29"/>
      <c r="G27" s="29"/>
      <c r="H27" s="124">
        <f t="shared" si="0"/>
        <v>134</v>
      </c>
      <c r="I27" s="124"/>
      <c r="J27" s="28"/>
      <c r="K27" s="7">
        <f t="shared" si="1"/>
        <v>7.7571428571428571</v>
      </c>
    </row>
    <row r="28" spans="1:12" x14ac:dyDescent="0.25">
      <c r="A28" s="67">
        <v>26</v>
      </c>
      <c r="B28" s="2" t="s">
        <v>496</v>
      </c>
      <c r="C28" s="6"/>
      <c r="D28" s="6"/>
      <c r="E28" s="6"/>
      <c r="F28" s="29"/>
      <c r="G28" s="29"/>
      <c r="H28" s="124">
        <f t="shared" si="0"/>
        <v>0</v>
      </c>
      <c r="I28" s="124"/>
      <c r="J28" s="28"/>
      <c r="K28" s="7">
        <f t="shared" si="1"/>
        <v>0</v>
      </c>
    </row>
    <row r="29" spans="1:12" x14ac:dyDescent="0.25">
      <c r="A29" s="67">
        <v>27</v>
      </c>
      <c r="B29" s="2" t="s">
        <v>472</v>
      </c>
      <c r="C29" s="6">
        <f>100*(0.7*0.7*1.1)</f>
        <v>53.899999999999991</v>
      </c>
      <c r="D29" s="6"/>
      <c r="E29" s="6"/>
      <c r="F29" s="29"/>
      <c r="G29" s="29"/>
      <c r="H29" s="124">
        <f t="shared" si="0"/>
        <v>53.899999999999991</v>
      </c>
      <c r="I29" s="124"/>
      <c r="J29" s="28"/>
      <c r="K29" s="7">
        <f t="shared" si="1"/>
        <v>5.3899999999999988</v>
      </c>
    </row>
    <row r="30" spans="1:12" x14ac:dyDescent="0.25">
      <c r="A30" s="67">
        <v>28</v>
      </c>
      <c r="B30" s="2" t="s">
        <v>497</v>
      </c>
      <c r="C30" s="6"/>
      <c r="D30" s="6">
        <f>100*1*0.6</f>
        <v>60</v>
      </c>
      <c r="E30" s="6"/>
      <c r="F30" s="29"/>
      <c r="G30" s="29"/>
      <c r="H30" s="124">
        <f t="shared" si="0"/>
        <v>60</v>
      </c>
      <c r="I30" s="124"/>
      <c r="J30" s="28"/>
      <c r="K30" s="7">
        <f t="shared" si="1"/>
        <v>6</v>
      </c>
    </row>
    <row r="31" spans="1:12" x14ac:dyDescent="0.25">
      <c r="A31" s="67">
        <v>29</v>
      </c>
      <c r="B31" s="124"/>
      <c r="C31" s="6"/>
      <c r="D31" s="6"/>
      <c r="E31" s="6"/>
      <c r="F31" s="29"/>
      <c r="G31" s="29"/>
      <c r="H31" s="124">
        <f t="shared" si="0"/>
        <v>0</v>
      </c>
      <c r="I31" s="124"/>
      <c r="J31" s="28"/>
      <c r="K31" s="7">
        <f t="shared" si="1"/>
        <v>0</v>
      </c>
    </row>
    <row r="32" spans="1:12" x14ac:dyDescent="0.25">
      <c r="A32" s="67">
        <v>30</v>
      </c>
      <c r="B32" s="124"/>
      <c r="C32" s="6"/>
      <c r="D32" s="6"/>
      <c r="E32" s="6"/>
      <c r="F32" s="29"/>
      <c r="G32" s="29"/>
      <c r="H32" s="124">
        <f t="shared" si="0"/>
        <v>0</v>
      </c>
      <c r="I32" s="124"/>
      <c r="J32" s="28"/>
      <c r="K32" s="7">
        <f t="shared" si="1"/>
        <v>0</v>
      </c>
    </row>
    <row r="33" spans="1:11" x14ac:dyDescent="0.25">
      <c r="A33" s="67"/>
      <c r="B33" s="65" t="s">
        <v>124</v>
      </c>
      <c r="C33" s="65" t="s">
        <v>70</v>
      </c>
      <c r="D33" s="65" t="s">
        <v>71</v>
      </c>
      <c r="E33" s="65" t="s">
        <v>418</v>
      </c>
      <c r="F33" s="65" t="s">
        <v>341</v>
      </c>
      <c r="G33" s="65" t="s">
        <v>48</v>
      </c>
      <c r="H33" s="10" t="s">
        <v>0</v>
      </c>
      <c r="I33" s="10" t="s">
        <v>1</v>
      </c>
      <c r="J33" s="10" t="s">
        <v>47</v>
      </c>
      <c r="K33" s="10" t="s">
        <v>12</v>
      </c>
    </row>
    <row r="34" spans="1:11" x14ac:dyDescent="0.25">
      <c r="A34" s="67">
        <v>1</v>
      </c>
      <c r="B34" s="2" t="s">
        <v>422</v>
      </c>
      <c r="C34" s="6"/>
      <c r="D34" s="6"/>
      <c r="E34" s="6"/>
      <c r="F34" s="29"/>
      <c r="G34" s="29"/>
      <c r="H34" s="3">
        <f>SUM(C34:G34)</f>
        <v>0</v>
      </c>
      <c r="I34" s="3"/>
      <c r="J34" s="28"/>
      <c r="K34" s="7">
        <f>NormalizeResult($C$71,$D$71,$C$70,$D$70,$C$69,$D$69,H34)+I34+IF(J34&gt;$J$64,J34*$J$65,0)</f>
        <v>0</v>
      </c>
    </row>
    <row r="35" spans="1:11" x14ac:dyDescent="0.25">
      <c r="A35" s="67">
        <v>2</v>
      </c>
      <c r="B35" s="2" t="s">
        <v>423</v>
      </c>
      <c r="C35" s="6"/>
      <c r="D35" s="6"/>
      <c r="E35" s="6"/>
      <c r="F35" s="29"/>
      <c r="G35" s="29"/>
      <c r="H35" s="124">
        <f t="shared" ref="H35:H63" si="2">SUM(C35:G35)</f>
        <v>0</v>
      </c>
      <c r="I35" s="124"/>
      <c r="J35" s="28"/>
      <c r="K35" s="7">
        <f t="shared" ref="K35:K63" si="3">NormalizeResult($C$71,$D$71,$C$70,$D$70,$C$69,$D$69,H35)+I35+IF(J35&gt;$J$64,J35*$J$65,0)</f>
        <v>0</v>
      </c>
    </row>
    <row r="36" spans="1:11" x14ac:dyDescent="0.25">
      <c r="A36" s="67">
        <v>3</v>
      </c>
      <c r="B36" s="2" t="s">
        <v>424</v>
      </c>
      <c r="C36" s="6"/>
      <c r="D36" s="6"/>
      <c r="E36" s="6"/>
      <c r="F36" s="29"/>
      <c r="G36" s="29"/>
      <c r="H36" s="124">
        <f t="shared" si="2"/>
        <v>0</v>
      </c>
      <c r="I36" s="124"/>
      <c r="J36" s="28"/>
      <c r="K36" s="7">
        <f t="shared" si="3"/>
        <v>0</v>
      </c>
    </row>
    <row r="37" spans="1:11" x14ac:dyDescent="0.25">
      <c r="A37" s="67">
        <v>4</v>
      </c>
      <c r="B37" s="2" t="s">
        <v>425</v>
      </c>
      <c r="C37" s="6"/>
      <c r="D37" s="6"/>
      <c r="E37" s="6"/>
      <c r="F37" s="29"/>
      <c r="G37" s="29"/>
      <c r="H37" s="124">
        <f t="shared" si="2"/>
        <v>0</v>
      </c>
      <c r="I37" s="124"/>
      <c r="J37" s="28"/>
      <c r="K37" s="7">
        <f t="shared" si="3"/>
        <v>0</v>
      </c>
    </row>
    <row r="38" spans="1:11" x14ac:dyDescent="0.25">
      <c r="A38" s="67">
        <v>5</v>
      </c>
      <c r="B38" s="2" t="s">
        <v>426</v>
      </c>
      <c r="C38" s="6"/>
      <c r="D38" s="6"/>
      <c r="E38" s="6"/>
      <c r="F38" s="29"/>
      <c r="G38" s="29"/>
      <c r="H38" s="124">
        <f t="shared" si="2"/>
        <v>0</v>
      </c>
      <c r="I38" s="124"/>
      <c r="J38" s="28"/>
      <c r="K38" s="7">
        <f t="shared" si="3"/>
        <v>0</v>
      </c>
    </row>
    <row r="39" spans="1:11" x14ac:dyDescent="0.25">
      <c r="A39" s="67">
        <v>6</v>
      </c>
      <c r="B39" s="2" t="s">
        <v>427</v>
      </c>
      <c r="C39" s="6">
        <f>120*0.7*(0.6*0.6)</f>
        <v>30.24</v>
      </c>
      <c r="D39" s="6"/>
      <c r="E39" s="6"/>
      <c r="F39" s="29"/>
      <c r="G39" s="29"/>
      <c r="H39" s="124">
        <f t="shared" si="2"/>
        <v>30.24</v>
      </c>
      <c r="I39" s="124"/>
      <c r="J39" s="28"/>
      <c r="K39" s="7">
        <f t="shared" si="3"/>
        <v>3.024</v>
      </c>
    </row>
    <row r="40" spans="1:11" x14ac:dyDescent="0.25">
      <c r="A40" s="67">
        <v>7</v>
      </c>
      <c r="B40" s="2" t="s">
        <v>428</v>
      </c>
      <c r="C40" s="6"/>
      <c r="D40" s="6"/>
      <c r="E40" s="6"/>
      <c r="F40" s="29"/>
      <c r="G40" s="29"/>
      <c r="H40" s="124">
        <f t="shared" si="2"/>
        <v>0</v>
      </c>
      <c r="I40" s="124"/>
      <c r="J40" s="28"/>
      <c r="K40" s="7">
        <f t="shared" si="3"/>
        <v>0</v>
      </c>
    </row>
    <row r="41" spans="1:11" x14ac:dyDescent="0.25">
      <c r="A41" s="67">
        <v>8</v>
      </c>
      <c r="B41" s="2" t="s">
        <v>429</v>
      </c>
      <c r="C41" s="6"/>
      <c r="D41" s="6"/>
      <c r="E41" s="6"/>
      <c r="F41" s="29"/>
      <c r="G41" s="29"/>
      <c r="H41" s="124">
        <f t="shared" si="2"/>
        <v>0</v>
      </c>
      <c r="I41" s="124"/>
      <c r="J41" s="28"/>
      <c r="K41" s="7">
        <f t="shared" si="3"/>
        <v>0</v>
      </c>
    </row>
    <row r="42" spans="1:11" x14ac:dyDescent="0.25">
      <c r="A42" s="67">
        <v>9</v>
      </c>
      <c r="B42" s="2" t="s">
        <v>430</v>
      </c>
      <c r="C42" s="6"/>
      <c r="D42" s="6"/>
      <c r="E42" s="6"/>
      <c r="F42" s="29"/>
      <c r="G42" s="29"/>
      <c r="H42" s="124">
        <f t="shared" si="2"/>
        <v>0</v>
      </c>
      <c r="I42" s="124"/>
      <c r="J42" s="28"/>
      <c r="K42" s="7">
        <f t="shared" si="3"/>
        <v>0</v>
      </c>
    </row>
    <row r="43" spans="1:11" x14ac:dyDescent="0.25">
      <c r="A43" s="67">
        <v>10</v>
      </c>
      <c r="B43" s="2" t="s">
        <v>431</v>
      </c>
      <c r="C43" s="6"/>
      <c r="D43" s="6">
        <f>100*0.8*0.6</f>
        <v>48</v>
      </c>
      <c r="E43" s="6"/>
      <c r="F43" s="29"/>
      <c r="G43" s="29"/>
      <c r="H43" s="124">
        <f t="shared" si="2"/>
        <v>48</v>
      </c>
      <c r="I43" s="124"/>
      <c r="J43" s="28"/>
      <c r="K43" s="7">
        <f t="shared" si="3"/>
        <v>4.8</v>
      </c>
    </row>
    <row r="44" spans="1:11" x14ac:dyDescent="0.25">
      <c r="A44" s="67">
        <v>11</v>
      </c>
      <c r="B44" s="2" t="s">
        <v>432</v>
      </c>
      <c r="C44" s="6"/>
      <c r="D44" s="6"/>
      <c r="E44" s="6"/>
      <c r="F44" s="29"/>
      <c r="G44" s="29"/>
      <c r="H44" s="124">
        <f t="shared" si="2"/>
        <v>0</v>
      </c>
      <c r="I44" s="124"/>
      <c r="J44" s="28"/>
      <c r="K44" s="7">
        <f t="shared" si="3"/>
        <v>0</v>
      </c>
    </row>
    <row r="45" spans="1:11" x14ac:dyDescent="0.25">
      <c r="A45" s="67">
        <v>12</v>
      </c>
      <c r="B45" s="2" t="s">
        <v>433</v>
      </c>
      <c r="C45" s="6"/>
      <c r="D45" s="6"/>
      <c r="E45" s="6"/>
      <c r="F45" s="29"/>
      <c r="G45" s="29"/>
      <c r="H45" s="124">
        <f t="shared" si="2"/>
        <v>0</v>
      </c>
      <c r="I45" s="124"/>
      <c r="J45" s="28"/>
      <c r="K45" s="7">
        <f t="shared" si="3"/>
        <v>0</v>
      </c>
    </row>
    <row r="46" spans="1:11" x14ac:dyDescent="0.25">
      <c r="A46" s="67">
        <v>13</v>
      </c>
      <c r="B46" s="2" t="s">
        <v>434</v>
      </c>
      <c r="C46" s="6"/>
      <c r="D46" s="6"/>
      <c r="E46" s="6"/>
      <c r="F46" s="29"/>
      <c r="G46" s="29"/>
      <c r="H46" s="124">
        <f t="shared" si="2"/>
        <v>0</v>
      </c>
      <c r="I46" s="124"/>
      <c r="J46" s="28"/>
      <c r="K46" s="7">
        <f t="shared" si="3"/>
        <v>0</v>
      </c>
    </row>
    <row r="47" spans="1:11" x14ac:dyDescent="0.25">
      <c r="A47" s="67">
        <v>14</v>
      </c>
      <c r="B47" s="2" t="s">
        <v>435</v>
      </c>
      <c r="C47" s="6"/>
      <c r="D47" s="6"/>
      <c r="E47" s="6"/>
      <c r="F47" s="29"/>
      <c r="G47" s="29"/>
      <c r="H47" s="124">
        <f t="shared" si="2"/>
        <v>0</v>
      </c>
      <c r="I47" s="124"/>
      <c r="J47" s="28"/>
      <c r="K47" s="7">
        <f t="shared" si="3"/>
        <v>0</v>
      </c>
    </row>
    <row r="48" spans="1:11" x14ac:dyDescent="0.25">
      <c r="A48" s="67">
        <v>15</v>
      </c>
      <c r="B48" s="2" t="s">
        <v>436</v>
      </c>
      <c r="C48" s="6">
        <f>120*0.7*0.6</f>
        <v>50.4</v>
      </c>
      <c r="D48" s="6"/>
      <c r="E48" s="6"/>
      <c r="F48" s="29"/>
      <c r="G48" s="29"/>
      <c r="H48" s="124">
        <f t="shared" si="2"/>
        <v>50.4</v>
      </c>
      <c r="I48" s="124"/>
      <c r="J48" s="28"/>
      <c r="K48" s="7">
        <f t="shared" si="3"/>
        <v>5.04</v>
      </c>
    </row>
    <row r="49" spans="1:11" x14ac:dyDescent="0.25">
      <c r="A49" s="67">
        <v>16</v>
      </c>
      <c r="B49" s="2" t="s">
        <v>437</v>
      </c>
      <c r="C49" s="6"/>
      <c r="D49" s="6"/>
      <c r="E49" s="6"/>
      <c r="F49" s="29"/>
      <c r="G49" s="29"/>
      <c r="H49" s="124">
        <f t="shared" si="2"/>
        <v>0</v>
      </c>
      <c r="I49" s="124"/>
      <c r="J49" s="28"/>
      <c r="K49" s="7">
        <f t="shared" si="3"/>
        <v>0</v>
      </c>
    </row>
    <row r="50" spans="1:11" x14ac:dyDescent="0.25">
      <c r="A50" s="67">
        <v>17</v>
      </c>
      <c r="B50" s="2" t="s">
        <v>438</v>
      </c>
      <c r="C50" s="6"/>
      <c r="D50" s="6">
        <f>100*0.75*0.6</f>
        <v>45</v>
      </c>
      <c r="E50" s="6"/>
      <c r="F50" s="29"/>
      <c r="G50" s="29"/>
      <c r="H50" s="124">
        <f t="shared" si="2"/>
        <v>45</v>
      </c>
      <c r="I50" s="124"/>
      <c r="J50" s="28"/>
      <c r="K50" s="7">
        <f t="shared" si="3"/>
        <v>4.5</v>
      </c>
    </row>
    <row r="51" spans="1:11" x14ac:dyDescent="0.25">
      <c r="A51" s="67">
        <v>18</v>
      </c>
      <c r="B51" s="2" t="s">
        <v>439</v>
      </c>
      <c r="C51" s="6"/>
      <c r="D51" s="6"/>
      <c r="E51" s="6"/>
      <c r="F51" s="29"/>
      <c r="G51" s="29"/>
      <c r="H51" s="124">
        <f t="shared" si="2"/>
        <v>0</v>
      </c>
      <c r="I51" s="124"/>
      <c r="J51" s="28"/>
      <c r="K51" s="7">
        <f t="shared" si="3"/>
        <v>0</v>
      </c>
    </row>
    <row r="52" spans="1:11" x14ac:dyDescent="0.25">
      <c r="A52" s="67">
        <v>19</v>
      </c>
      <c r="B52" s="2" t="s">
        <v>440</v>
      </c>
      <c r="C52" s="6"/>
      <c r="D52" s="6"/>
      <c r="E52" s="6"/>
      <c r="F52" s="29"/>
      <c r="G52" s="29"/>
      <c r="H52" s="124">
        <f t="shared" si="2"/>
        <v>0</v>
      </c>
      <c r="I52" s="124"/>
      <c r="J52" s="28"/>
      <c r="K52" s="7">
        <f t="shared" si="3"/>
        <v>0</v>
      </c>
    </row>
    <row r="53" spans="1:11" x14ac:dyDescent="0.25">
      <c r="A53" s="67">
        <v>20</v>
      </c>
      <c r="B53" s="2" t="s">
        <v>441</v>
      </c>
      <c r="C53" s="6"/>
      <c r="D53" s="6"/>
      <c r="E53" s="6"/>
      <c r="F53" s="29"/>
      <c r="G53" s="29"/>
      <c r="H53" s="124">
        <f t="shared" si="2"/>
        <v>0</v>
      </c>
      <c r="I53" s="124"/>
      <c r="J53" s="28"/>
      <c r="K53" s="7">
        <f t="shared" si="3"/>
        <v>0</v>
      </c>
    </row>
    <row r="54" spans="1:11" x14ac:dyDescent="0.25">
      <c r="A54" s="67">
        <v>21</v>
      </c>
      <c r="B54" s="2" t="s">
        <v>442</v>
      </c>
      <c r="C54" s="6"/>
      <c r="D54" s="6"/>
      <c r="E54" s="6"/>
      <c r="F54" s="29"/>
      <c r="G54" s="29"/>
      <c r="H54" s="124">
        <f t="shared" si="2"/>
        <v>0</v>
      </c>
      <c r="I54" s="124"/>
      <c r="J54" s="28"/>
      <c r="K54" s="7">
        <f t="shared" si="3"/>
        <v>0</v>
      </c>
    </row>
    <row r="55" spans="1:11" x14ac:dyDescent="0.25">
      <c r="A55" s="67">
        <v>22</v>
      </c>
      <c r="B55" s="2" t="s">
        <v>443</v>
      </c>
      <c r="C55" s="6"/>
      <c r="D55" s="6">
        <f>100*0.7*0.6</f>
        <v>42</v>
      </c>
      <c r="E55" s="6"/>
      <c r="F55" s="29"/>
      <c r="G55" s="29"/>
      <c r="H55" s="124">
        <f t="shared" si="2"/>
        <v>42</v>
      </c>
      <c r="I55" s="124"/>
      <c r="J55" s="28"/>
      <c r="K55" s="7">
        <f t="shared" si="3"/>
        <v>4.2</v>
      </c>
    </row>
    <row r="56" spans="1:11" x14ac:dyDescent="0.25">
      <c r="A56" s="67">
        <v>23</v>
      </c>
      <c r="B56" s="2" t="s">
        <v>444</v>
      </c>
      <c r="C56" s="6"/>
      <c r="D56" s="6"/>
      <c r="E56" s="6"/>
      <c r="F56" s="29"/>
      <c r="G56" s="29"/>
      <c r="H56" s="124">
        <f t="shared" si="2"/>
        <v>0</v>
      </c>
      <c r="I56" s="124"/>
      <c r="J56" s="28"/>
      <c r="K56" s="7">
        <f t="shared" si="3"/>
        <v>0</v>
      </c>
    </row>
    <row r="57" spans="1:11" x14ac:dyDescent="0.25">
      <c r="A57" s="67">
        <v>24</v>
      </c>
      <c r="B57" s="2" t="s">
        <v>445</v>
      </c>
      <c r="C57" s="6"/>
      <c r="D57" s="6"/>
      <c r="E57" s="6"/>
      <c r="F57" s="29"/>
      <c r="G57" s="29"/>
      <c r="H57" s="124">
        <f t="shared" si="2"/>
        <v>0</v>
      </c>
      <c r="I57" s="124"/>
      <c r="J57" s="28"/>
      <c r="K57" s="7">
        <f t="shared" si="3"/>
        <v>0</v>
      </c>
    </row>
    <row r="58" spans="1:11" x14ac:dyDescent="0.25">
      <c r="A58" s="67">
        <v>25</v>
      </c>
      <c r="B58" s="2" t="s">
        <v>446</v>
      </c>
      <c r="C58" s="6"/>
      <c r="D58" s="6"/>
      <c r="E58" s="6"/>
      <c r="F58" s="29"/>
      <c r="G58" s="29"/>
      <c r="H58" s="124">
        <f t="shared" si="2"/>
        <v>0</v>
      </c>
      <c r="I58" s="124"/>
      <c r="J58" s="28"/>
      <c r="K58" s="7">
        <f t="shared" si="3"/>
        <v>0</v>
      </c>
    </row>
    <row r="59" spans="1:11" x14ac:dyDescent="0.25">
      <c r="A59" s="67">
        <v>26</v>
      </c>
      <c r="B59" s="2" t="s">
        <v>447</v>
      </c>
      <c r="C59" s="6"/>
      <c r="D59" s="6"/>
      <c r="E59" s="6"/>
      <c r="F59" s="29"/>
      <c r="G59" s="29"/>
      <c r="H59" s="124">
        <f t="shared" si="2"/>
        <v>0</v>
      </c>
      <c r="I59" s="124"/>
      <c r="J59" s="28"/>
      <c r="K59" s="7">
        <f t="shared" si="3"/>
        <v>0</v>
      </c>
    </row>
    <row r="60" spans="1:11" x14ac:dyDescent="0.25">
      <c r="A60" s="67">
        <v>27</v>
      </c>
      <c r="B60" s="2" t="s">
        <v>448</v>
      </c>
      <c r="C60" s="6">
        <f>120*0.7*(0.6*1.1)</f>
        <v>55.440000000000005</v>
      </c>
      <c r="D60" s="6"/>
      <c r="E60" s="6"/>
      <c r="F60" s="29"/>
      <c r="G60" s="29"/>
      <c r="H60" s="124">
        <f t="shared" si="2"/>
        <v>55.440000000000005</v>
      </c>
      <c r="I60" s="124"/>
      <c r="J60" s="28"/>
      <c r="K60" s="7">
        <f t="shared" si="3"/>
        <v>5.5440000000000005</v>
      </c>
    </row>
    <row r="61" spans="1:11" x14ac:dyDescent="0.25">
      <c r="A61" s="67">
        <v>28</v>
      </c>
      <c r="B61" s="124" t="s">
        <v>553</v>
      </c>
      <c r="C61" s="6"/>
      <c r="D61" s="6"/>
      <c r="E61" s="6"/>
      <c r="F61" s="29"/>
      <c r="G61" s="29"/>
      <c r="H61" s="124">
        <f t="shared" si="2"/>
        <v>0</v>
      </c>
      <c r="I61" s="124"/>
      <c r="J61" s="28"/>
      <c r="K61" s="7">
        <f t="shared" si="3"/>
        <v>0</v>
      </c>
    </row>
    <row r="62" spans="1:11" x14ac:dyDescent="0.25">
      <c r="A62" s="67">
        <v>29</v>
      </c>
      <c r="B62" s="124"/>
      <c r="C62" s="6"/>
      <c r="D62" s="6"/>
      <c r="E62" s="6"/>
      <c r="F62" s="29"/>
      <c r="G62" s="29"/>
      <c r="H62" s="124">
        <f t="shared" si="2"/>
        <v>0</v>
      </c>
      <c r="I62" s="124"/>
      <c r="J62" s="28"/>
      <c r="K62" s="7">
        <f t="shared" si="3"/>
        <v>0</v>
      </c>
    </row>
    <row r="63" spans="1:11" x14ac:dyDescent="0.25">
      <c r="A63" s="67">
        <v>30</v>
      </c>
      <c r="B63" s="124"/>
      <c r="C63" s="6"/>
      <c r="D63" s="6"/>
      <c r="E63" s="6"/>
      <c r="F63" s="29"/>
      <c r="G63" s="29"/>
      <c r="H63" s="124">
        <f t="shared" si="2"/>
        <v>0</v>
      </c>
      <c r="I63" s="124"/>
      <c r="J63" s="28"/>
      <c r="K63" s="7">
        <f t="shared" si="3"/>
        <v>0</v>
      </c>
    </row>
    <row r="64" spans="1:11" x14ac:dyDescent="0.25">
      <c r="B64" s="1" t="s">
        <v>18</v>
      </c>
      <c r="C64">
        <v>120</v>
      </c>
      <c r="D64">
        <v>100</v>
      </c>
      <c r="E64">
        <v>200</v>
      </c>
      <c r="J64" s="22">
        <v>0.6</v>
      </c>
    </row>
    <row r="65" spans="2:10" x14ac:dyDescent="0.25">
      <c r="I65" t="s">
        <v>48</v>
      </c>
      <c r="J65" s="27">
        <v>0.2</v>
      </c>
    </row>
    <row r="67" spans="2:10" x14ac:dyDescent="0.25">
      <c r="F67" s="70"/>
      <c r="G67" s="70"/>
      <c r="H67" s="70"/>
      <c r="I67" s="70"/>
      <c r="J67" s="70"/>
    </row>
    <row r="68" spans="2:10" x14ac:dyDescent="0.25">
      <c r="C68" t="s">
        <v>16</v>
      </c>
      <c r="D68" t="s">
        <v>17</v>
      </c>
      <c r="F68" s="70"/>
      <c r="G68" s="70"/>
      <c r="H68" s="71"/>
      <c r="I68" s="70"/>
      <c r="J68" s="70"/>
    </row>
    <row r="69" spans="2:10" x14ac:dyDescent="0.25">
      <c r="B69" t="s">
        <v>13</v>
      </c>
      <c r="C69">
        <v>250</v>
      </c>
      <c r="D69">
        <f>D71*1.5</f>
        <v>9</v>
      </c>
      <c r="F69" s="70"/>
      <c r="G69" s="70"/>
      <c r="H69" s="72"/>
      <c r="I69" s="70"/>
      <c r="J69" s="70"/>
    </row>
    <row r="70" spans="2:10" x14ac:dyDescent="0.25">
      <c r="B70" t="s">
        <v>14</v>
      </c>
      <c r="C70">
        <v>110</v>
      </c>
      <c r="D70">
        <f>(D69-D71)*0.5+D71</f>
        <v>7.5</v>
      </c>
      <c r="F70" s="70"/>
      <c r="G70" s="70"/>
      <c r="H70" s="70"/>
      <c r="I70" s="70"/>
      <c r="J70" s="70"/>
    </row>
    <row r="71" spans="2:10" x14ac:dyDescent="0.25">
      <c r="B71" t="s">
        <v>15</v>
      </c>
      <c r="C71">
        <v>60</v>
      </c>
      <c r="D71">
        <v>6</v>
      </c>
    </row>
    <row r="75" spans="2:10" ht="15.75" x14ac:dyDescent="0.3">
      <c r="B75" s="134" t="s">
        <v>157</v>
      </c>
    </row>
    <row r="77" spans="2:10" ht="15.75" x14ac:dyDescent="0.3">
      <c r="B77" s="134" t="s">
        <v>159</v>
      </c>
    </row>
    <row r="78" spans="2:10" ht="15.75" x14ac:dyDescent="0.3">
      <c r="B78" s="134" t="s">
        <v>543</v>
      </c>
    </row>
    <row r="79" spans="2:10" ht="15.75" x14ac:dyDescent="0.3">
      <c r="B79" s="134" t="s">
        <v>544</v>
      </c>
    </row>
    <row r="80" spans="2:10" ht="15.75" x14ac:dyDescent="0.3">
      <c r="B80" s="134" t="s">
        <v>545</v>
      </c>
    </row>
    <row r="81" spans="2:2" ht="15.75" x14ac:dyDescent="0.3">
      <c r="B81" s="134" t="s">
        <v>546</v>
      </c>
    </row>
    <row r="82" spans="2:2" ht="15.75" x14ac:dyDescent="0.3">
      <c r="B82" s="134" t="s">
        <v>547</v>
      </c>
    </row>
    <row r="83" spans="2:2" ht="15.75" x14ac:dyDescent="0.3">
      <c r="B83" s="134" t="s">
        <v>548</v>
      </c>
    </row>
    <row r="86" spans="2:2" x14ac:dyDescent="0.25">
      <c r="B86" s="74"/>
    </row>
    <row r="95" spans="2:2" x14ac:dyDescent="0.25">
      <c r="B95" s="77"/>
    </row>
    <row r="96" spans="2:2" x14ac:dyDescent="0.25">
      <c r="B96" s="77"/>
    </row>
  </sheetData>
  <conditionalFormatting sqref="K34:K63 K3:K32">
    <cfRule type="colorScale" priority="1">
      <colorScale>
        <cfvo type="num" val="0"/>
        <cfvo type="num" val="$D$71"/>
        <cfvo type="num" val="$D$69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horizontalDpi="180" verticalDpi="18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V94"/>
  <sheetViews>
    <sheetView zoomScaleNormal="100" workbookViewId="0">
      <pane xSplit="2" ySplit="2" topLeftCell="C13" activePane="bottomRight" state="frozen"/>
      <selection pane="topRight" activeCell="C1" sqref="C1"/>
      <selection pane="bottomLeft" activeCell="A3" sqref="A3"/>
      <selection pane="bottomRight" activeCell="C71" sqref="C70:C71"/>
    </sheetView>
  </sheetViews>
  <sheetFormatPr defaultRowHeight="15" x14ac:dyDescent="0.25"/>
  <cols>
    <col min="2" max="2" width="41.85546875" customWidth="1"/>
    <col min="3" max="3" width="20.28515625" customWidth="1"/>
    <col min="4" max="5" width="14.140625" customWidth="1"/>
    <col min="6" max="6" width="18.140625" customWidth="1"/>
    <col min="7" max="7" width="10.42578125" customWidth="1"/>
    <col min="8" max="8" width="19.140625" customWidth="1"/>
    <col min="9" max="9" width="12.42578125" bestFit="1" customWidth="1"/>
    <col min="10" max="10" width="18.5703125" customWidth="1"/>
    <col min="11" max="17" width="18.42578125" customWidth="1"/>
    <col min="18" max="18" width="10.28515625" bestFit="1" customWidth="1"/>
    <col min="19" max="19" width="10.28515625" customWidth="1"/>
    <col min="20" max="20" width="11.85546875" customWidth="1"/>
    <col min="21" max="25" width="10.28515625" bestFit="1" customWidth="1"/>
  </cols>
  <sheetData>
    <row r="1" spans="1:21" x14ac:dyDescent="0.25">
      <c r="B1" t="s">
        <v>241</v>
      </c>
    </row>
    <row r="2" spans="1:21" x14ac:dyDescent="0.25">
      <c r="A2" s="67"/>
      <c r="B2" s="65" t="s">
        <v>20</v>
      </c>
      <c r="C2" s="65" t="s">
        <v>156</v>
      </c>
      <c r="D2" s="65" t="s">
        <v>155</v>
      </c>
      <c r="E2" s="65" t="s">
        <v>242</v>
      </c>
      <c r="F2" s="65" t="s">
        <v>342</v>
      </c>
      <c r="G2" s="65" t="s">
        <v>268</v>
      </c>
      <c r="H2" s="65" t="s">
        <v>269</v>
      </c>
      <c r="I2" s="65" t="s">
        <v>270</v>
      </c>
      <c r="J2" s="65" t="s">
        <v>271</v>
      </c>
      <c r="K2" s="65" t="s">
        <v>272</v>
      </c>
      <c r="L2" s="65" t="s">
        <v>273</v>
      </c>
      <c r="M2" s="65" t="s">
        <v>274</v>
      </c>
      <c r="N2" s="65" t="s">
        <v>275</v>
      </c>
      <c r="O2" s="65" t="s">
        <v>276</v>
      </c>
      <c r="P2" s="65" t="s">
        <v>419</v>
      </c>
      <c r="Q2" s="65" t="s">
        <v>343</v>
      </c>
      <c r="R2" s="10" t="s">
        <v>0</v>
      </c>
      <c r="S2" s="10" t="s">
        <v>1</v>
      </c>
      <c r="T2" s="10" t="s">
        <v>47</v>
      </c>
      <c r="U2" s="10" t="s">
        <v>12</v>
      </c>
    </row>
    <row r="3" spans="1:21" x14ac:dyDescent="0.25">
      <c r="A3" s="67">
        <v>1</v>
      </c>
      <c r="B3" s="2" t="s">
        <v>466</v>
      </c>
      <c r="C3" s="6"/>
      <c r="D3" s="6"/>
      <c r="E3" s="6">
        <f>156*1*0.9</f>
        <v>140.4</v>
      </c>
      <c r="F3" s="6"/>
      <c r="G3" s="6"/>
      <c r="H3" s="6"/>
      <c r="I3" s="29"/>
      <c r="J3" s="29"/>
      <c r="K3" s="29"/>
      <c r="L3" s="29"/>
      <c r="M3" s="29"/>
      <c r="N3" s="29"/>
      <c r="O3" s="29"/>
      <c r="P3" s="29"/>
      <c r="Q3" s="29"/>
      <c r="R3" s="124">
        <f t="shared" ref="R3:R32" si="0">SUM(C3:Q3)</f>
        <v>140.4</v>
      </c>
      <c r="S3" s="124"/>
      <c r="T3" s="28"/>
      <c r="U3" s="7">
        <f t="shared" ref="U3:U32" si="1">NormalizeResult($C$71,$D$71,$C$70,$D$70,$C$69,$D$69,R3)+S3+IF(T3&gt;$T$64,T3*$T$65,0)</f>
        <v>5.2955882352941179</v>
      </c>
    </row>
    <row r="4" spans="1:21" x14ac:dyDescent="0.25">
      <c r="A4" s="67">
        <v>2</v>
      </c>
      <c r="B4" s="2" t="s">
        <v>478</v>
      </c>
      <c r="C4" s="6"/>
      <c r="D4" s="6"/>
      <c r="E4" s="6">
        <f>156*0.7*0.9</f>
        <v>98.279999999999987</v>
      </c>
      <c r="F4" s="6"/>
      <c r="G4" s="6"/>
      <c r="H4" s="6"/>
      <c r="I4" s="29"/>
      <c r="J4" s="29"/>
      <c r="K4" s="29"/>
      <c r="L4" s="29"/>
      <c r="M4" s="29"/>
      <c r="N4" s="29"/>
      <c r="O4" s="29"/>
      <c r="P4" s="29"/>
      <c r="Q4" s="29"/>
      <c r="R4" s="124">
        <f t="shared" si="0"/>
        <v>98.279999999999987</v>
      </c>
      <c r="S4" s="124"/>
      <c r="T4" s="28"/>
      <c r="U4" s="7">
        <f t="shared" si="1"/>
        <v>5.140735294117647</v>
      </c>
    </row>
    <row r="5" spans="1:21" x14ac:dyDescent="0.25">
      <c r="A5" s="67">
        <v>3</v>
      </c>
      <c r="B5" t="s">
        <v>449</v>
      </c>
      <c r="C5" s="6"/>
      <c r="D5" s="6"/>
      <c r="E5" s="6">
        <f>156*1*1.1</f>
        <v>171.60000000000002</v>
      </c>
      <c r="F5" s="6">
        <f>30*1*1.1</f>
        <v>33</v>
      </c>
      <c r="G5" s="6"/>
      <c r="H5" s="6"/>
      <c r="I5" s="29"/>
      <c r="J5" s="29"/>
      <c r="K5" s="29"/>
      <c r="L5" s="29"/>
      <c r="M5" s="29"/>
      <c r="N5" s="29"/>
      <c r="O5" s="29"/>
      <c r="P5" s="29"/>
      <c r="Q5" s="29"/>
      <c r="R5" s="3">
        <f>SUM(C5:Q5)</f>
        <v>204.60000000000002</v>
      </c>
      <c r="S5" s="3"/>
      <c r="T5" s="28"/>
      <c r="U5" s="7">
        <f t="shared" si="1"/>
        <v>5.5316176470588232</v>
      </c>
    </row>
    <row r="6" spans="1:21" x14ac:dyDescent="0.25">
      <c r="A6" s="67">
        <v>4</v>
      </c>
      <c r="B6" s="2" t="s">
        <v>479</v>
      </c>
      <c r="C6" s="6"/>
      <c r="D6" s="6"/>
      <c r="E6" s="6"/>
      <c r="F6" s="6"/>
      <c r="G6" s="6"/>
      <c r="H6" s="6"/>
      <c r="I6" s="29"/>
      <c r="J6" s="29"/>
      <c r="K6" s="29"/>
      <c r="L6" s="29"/>
      <c r="M6" s="29"/>
      <c r="N6" s="29"/>
      <c r="O6" s="29"/>
      <c r="P6" s="29"/>
      <c r="Q6" s="29"/>
      <c r="R6" s="124">
        <f t="shared" si="0"/>
        <v>0</v>
      </c>
      <c r="S6" s="124"/>
      <c r="T6" s="28"/>
      <c r="U6" s="7">
        <f t="shared" si="1"/>
        <v>0</v>
      </c>
    </row>
    <row r="7" spans="1:21" x14ac:dyDescent="0.25">
      <c r="A7" s="67">
        <v>5</v>
      </c>
      <c r="B7" s="2" t="s">
        <v>480</v>
      </c>
      <c r="C7" s="6"/>
      <c r="D7" s="6"/>
      <c r="E7" s="6">
        <f>156*0.6*0.6</f>
        <v>56.16</v>
      </c>
      <c r="F7" s="6"/>
      <c r="G7" s="6"/>
      <c r="H7" s="6"/>
      <c r="I7" s="29"/>
      <c r="J7" s="29"/>
      <c r="K7" s="29"/>
      <c r="L7" s="29"/>
      <c r="M7" s="29"/>
      <c r="N7" s="29"/>
      <c r="O7" s="29"/>
      <c r="P7" s="29"/>
      <c r="Q7" s="29"/>
      <c r="R7" s="124">
        <f t="shared" si="0"/>
        <v>56.16</v>
      </c>
      <c r="S7" s="124"/>
      <c r="T7" s="28"/>
      <c r="U7" s="7">
        <f t="shared" si="1"/>
        <v>4.68</v>
      </c>
    </row>
    <row r="8" spans="1:21" x14ac:dyDescent="0.25">
      <c r="A8" s="67">
        <v>6</v>
      </c>
      <c r="B8" s="2" t="s">
        <v>483</v>
      </c>
      <c r="C8" s="6"/>
      <c r="D8" s="6"/>
      <c r="E8" s="6">
        <f>156*1*1.1</f>
        <v>171.60000000000002</v>
      </c>
      <c r="F8" s="6"/>
      <c r="G8" s="6"/>
      <c r="H8" s="6"/>
      <c r="I8" s="29"/>
      <c r="J8" s="29"/>
      <c r="K8" s="29"/>
      <c r="L8" s="29"/>
      <c r="M8" s="29"/>
      <c r="N8" s="29"/>
      <c r="O8" s="29"/>
      <c r="P8" s="29"/>
      <c r="Q8" s="29"/>
      <c r="R8" s="124">
        <f>SUM(C8:Q8)</f>
        <v>171.60000000000002</v>
      </c>
      <c r="S8" s="124"/>
      <c r="T8" s="28"/>
      <c r="U8" s="7">
        <f t="shared" si="1"/>
        <v>5.4102941176470587</v>
      </c>
    </row>
    <row r="9" spans="1:21" x14ac:dyDescent="0.25">
      <c r="A9" s="67">
        <v>7</v>
      </c>
      <c r="B9" s="2" t="s">
        <v>481</v>
      </c>
      <c r="C9" s="6"/>
      <c r="D9" s="6"/>
      <c r="E9" s="6">
        <f>156*1*1.1</f>
        <v>171.60000000000002</v>
      </c>
      <c r="F9" s="6">
        <f>30*1*1.1</f>
        <v>33</v>
      </c>
      <c r="G9" s="6"/>
      <c r="H9" s="6"/>
      <c r="I9" s="29"/>
      <c r="J9" s="29"/>
      <c r="K9" s="29"/>
      <c r="L9" s="29"/>
      <c r="M9" s="29"/>
      <c r="N9" s="29"/>
      <c r="O9" s="29"/>
      <c r="P9" s="29"/>
      <c r="Q9" s="29"/>
      <c r="R9" s="124">
        <f t="shared" si="0"/>
        <v>204.60000000000002</v>
      </c>
      <c r="S9" s="124"/>
      <c r="T9" s="28"/>
      <c r="U9" s="7">
        <f t="shared" si="1"/>
        <v>5.5316176470588232</v>
      </c>
    </row>
    <row r="10" spans="1:21" x14ac:dyDescent="0.25">
      <c r="A10" s="67">
        <v>8</v>
      </c>
      <c r="B10" s="2" t="s">
        <v>482</v>
      </c>
      <c r="C10" s="6"/>
      <c r="D10" s="6"/>
      <c r="E10" s="6">
        <f>156*1*1.1</f>
        <v>171.60000000000002</v>
      </c>
      <c r="F10" s="6"/>
      <c r="G10" s="6"/>
      <c r="H10" s="6"/>
      <c r="I10" s="29"/>
      <c r="J10" s="29"/>
      <c r="K10" s="29"/>
      <c r="L10" s="29"/>
      <c r="M10" s="29"/>
      <c r="N10" s="29"/>
      <c r="O10" s="29"/>
      <c r="P10" s="29"/>
      <c r="Q10" s="29"/>
      <c r="R10" s="124">
        <f t="shared" si="0"/>
        <v>171.60000000000002</v>
      </c>
      <c r="S10" s="124"/>
      <c r="T10" s="28"/>
      <c r="U10" s="7">
        <f t="shared" si="1"/>
        <v>5.4102941176470587</v>
      </c>
    </row>
    <row r="11" spans="1:21" x14ac:dyDescent="0.25">
      <c r="A11" s="67">
        <v>9</v>
      </c>
      <c r="B11" s="2" t="s">
        <v>484</v>
      </c>
      <c r="C11" s="6"/>
      <c r="D11" s="6"/>
      <c r="E11" s="6">
        <f>156*(0.85*1.1+0.05*0.9)</f>
        <v>152.88000000000002</v>
      </c>
      <c r="F11" s="6">
        <f>30*1*1.1</f>
        <v>33</v>
      </c>
      <c r="G11" s="6"/>
      <c r="H11" s="6"/>
      <c r="I11" s="29"/>
      <c r="J11" s="29"/>
      <c r="K11" s="29"/>
      <c r="L11" s="29"/>
      <c r="M11" s="29"/>
      <c r="N11" s="29"/>
      <c r="O11" s="29"/>
      <c r="P11" s="29"/>
      <c r="Q11" s="29"/>
      <c r="R11" s="124">
        <f t="shared" si="0"/>
        <v>185.88000000000002</v>
      </c>
      <c r="S11" s="124"/>
      <c r="T11" s="28"/>
      <c r="U11" s="7">
        <f t="shared" si="1"/>
        <v>5.4627941176470589</v>
      </c>
    </row>
    <row r="12" spans="1:21" x14ac:dyDescent="0.25">
      <c r="A12" s="67">
        <v>10</v>
      </c>
      <c r="B12" s="2" t="s">
        <v>485</v>
      </c>
      <c r="C12" s="6"/>
      <c r="D12" s="6"/>
      <c r="E12" s="6">
        <f>156*1*0.7</f>
        <v>109.19999999999999</v>
      </c>
      <c r="F12" s="6"/>
      <c r="G12" s="6"/>
      <c r="H12" s="6"/>
      <c r="I12" s="29"/>
      <c r="J12" s="29"/>
      <c r="K12" s="29"/>
      <c r="L12" s="29"/>
      <c r="M12" s="29"/>
      <c r="N12" s="29"/>
      <c r="O12" s="29"/>
      <c r="P12" s="29"/>
      <c r="Q12" s="29"/>
      <c r="R12" s="124">
        <f t="shared" si="0"/>
        <v>109.19999999999999</v>
      </c>
      <c r="S12" s="124"/>
      <c r="T12" s="28"/>
      <c r="U12" s="7">
        <f t="shared" si="1"/>
        <v>5.1808823529411763</v>
      </c>
    </row>
    <row r="13" spans="1:21" x14ac:dyDescent="0.25">
      <c r="A13" s="67">
        <v>11</v>
      </c>
      <c r="B13" s="2" t="s">
        <v>486</v>
      </c>
      <c r="C13" s="6"/>
      <c r="D13" s="6"/>
      <c r="E13" s="6">
        <f>156*(0.7*1.1+0.2*0.9)</f>
        <v>148.20000000000002</v>
      </c>
      <c r="F13" s="6">
        <f>30*(0.8*1.1+0.2*0.9)</f>
        <v>31.8</v>
      </c>
      <c r="G13" s="6"/>
      <c r="H13" s="6"/>
      <c r="I13" s="29"/>
      <c r="J13" s="29"/>
      <c r="K13" s="29"/>
      <c r="L13" s="29"/>
      <c r="M13" s="29"/>
      <c r="N13" s="29"/>
      <c r="O13" s="29"/>
      <c r="P13" s="29"/>
      <c r="Q13" s="29"/>
      <c r="R13" s="124">
        <f t="shared" si="0"/>
        <v>180.00000000000003</v>
      </c>
      <c r="S13" s="124"/>
      <c r="T13" s="28"/>
      <c r="U13" s="7">
        <f t="shared" si="1"/>
        <v>5.4411764705882355</v>
      </c>
    </row>
    <row r="14" spans="1:21" x14ac:dyDescent="0.25">
      <c r="A14" s="67">
        <v>12</v>
      </c>
      <c r="B14" s="2" t="s">
        <v>487</v>
      </c>
      <c r="C14" s="6"/>
      <c r="D14" s="6"/>
      <c r="E14" s="6"/>
      <c r="F14" s="6"/>
      <c r="G14" s="6"/>
      <c r="H14" s="6"/>
      <c r="I14" s="29"/>
      <c r="J14" s="29"/>
      <c r="K14" s="29"/>
      <c r="L14" s="29"/>
      <c r="M14" s="29"/>
      <c r="N14" s="29"/>
      <c r="O14" s="29"/>
      <c r="P14" s="29"/>
      <c r="Q14" s="29"/>
      <c r="R14" s="124">
        <f t="shared" si="0"/>
        <v>0</v>
      </c>
      <c r="S14" s="124"/>
      <c r="T14" s="28"/>
      <c r="U14" s="7">
        <f t="shared" si="1"/>
        <v>0</v>
      </c>
    </row>
    <row r="15" spans="1:21" x14ac:dyDescent="0.25">
      <c r="A15" s="67">
        <v>13</v>
      </c>
      <c r="B15" s="2" t="s">
        <v>488</v>
      </c>
      <c r="C15" s="6"/>
      <c r="D15" s="6"/>
      <c r="E15" s="6">
        <f>156*(0.6*0.9+0.4*0.7)</f>
        <v>127.92000000000002</v>
      </c>
      <c r="F15" s="6">
        <f>30*1*0.9</f>
        <v>27</v>
      </c>
      <c r="G15" s="6"/>
      <c r="H15" s="6"/>
      <c r="I15" s="29"/>
      <c r="J15" s="29"/>
      <c r="K15" s="29"/>
      <c r="L15" s="29"/>
      <c r="M15" s="29"/>
      <c r="N15" s="29"/>
      <c r="O15" s="29"/>
      <c r="P15" s="29"/>
      <c r="Q15" s="29"/>
      <c r="R15" s="124">
        <f t="shared" si="0"/>
        <v>154.92000000000002</v>
      </c>
      <c r="S15" s="124"/>
      <c r="T15" s="28"/>
      <c r="U15" s="7">
        <f t="shared" si="1"/>
        <v>5.3489705882352938</v>
      </c>
    </row>
    <row r="16" spans="1:21" x14ac:dyDescent="0.25">
      <c r="A16" s="67">
        <v>14</v>
      </c>
      <c r="B16" s="2" t="s">
        <v>473</v>
      </c>
      <c r="C16" s="6"/>
      <c r="D16" s="6"/>
      <c r="E16" s="6">
        <f>156*1*1.1</f>
        <v>171.60000000000002</v>
      </c>
      <c r="F16" s="6">
        <f>30*1*1.1</f>
        <v>33</v>
      </c>
      <c r="G16" s="6"/>
      <c r="H16" s="6"/>
      <c r="I16" s="29"/>
      <c r="J16" s="29"/>
      <c r="K16" s="29"/>
      <c r="L16" s="29"/>
      <c r="M16" s="29"/>
      <c r="N16" s="29"/>
      <c r="O16" s="29">
        <v>20</v>
      </c>
      <c r="P16" s="29"/>
      <c r="Q16" s="29"/>
      <c r="R16" s="124">
        <f t="shared" si="0"/>
        <v>224.60000000000002</v>
      </c>
      <c r="S16" s="124"/>
      <c r="T16" s="28"/>
      <c r="U16" s="7">
        <f t="shared" si="1"/>
        <v>5.6051470588235297</v>
      </c>
    </row>
    <row r="17" spans="1:22" x14ac:dyDescent="0.25">
      <c r="A17" s="67">
        <v>15</v>
      </c>
      <c r="B17" s="2" t="s">
        <v>474</v>
      </c>
      <c r="C17" s="6"/>
      <c r="D17" s="6"/>
      <c r="E17" s="6"/>
      <c r="F17" s="6"/>
      <c r="G17" s="6"/>
      <c r="H17" s="6"/>
      <c r="I17" s="29"/>
      <c r="J17" s="29"/>
      <c r="K17" s="29"/>
      <c r="L17" s="29"/>
      <c r="M17" s="29"/>
      <c r="N17" s="29"/>
      <c r="O17" s="29"/>
      <c r="P17" s="29"/>
      <c r="Q17" s="29"/>
      <c r="R17" s="124">
        <f t="shared" si="0"/>
        <v>0</v>
      </c>
      <c r="S17" s="124"/>
      <c r="T17" s="28"/>
      <c r="U17" s="7">
        <f t="shared" si="1"/>
        <v>0</v>
      </c>
    </row>
    <row r="18" spans="1:22" x14ac:dyDescent="0.25">
      <c r="A18" s="67">
        <v>16</v>
      </c>
      <c r="B18" s="2" t="s">
        <v>489</v>
      </c>
      <c r="C18" s="6"/>
      <c r="D18" s="6"/>
      <c r="E18" s="6">
        <f>156*1*0.6</f>
        <v>93.6</v>
      </c>
      <c r="F18" s="6">
        <f>30*1*0.6</f>
        <v>18</v>
      </c>
      <c r="G18" s="6"/>
      <c r="H18" s="6"/>
      <c r="I18" s="29"/>
      <c r="J18" s="29"/>
      <c r="K18" s="29"/>
      <c r="L18" s="29"/>
      <c r="M18" s="29"/>
      <c r="N18" s="29"/>
      <c r="O18" s="29"/>
      <c r="P18" s="29"/>
      <c r="Q18" s="29"/>
      <c r="R18" s="124">
        <f t="shared" si="0"/>
        <v>111.6</v>
      </c>
      <c r="S18" s="124"/>
      <c r="T18" s="28"/>
      <c r="U18" s="7">
        <f t="shared" si="1"/>
        <v>5.1897058823529409</v>
      </c>
      <c r="V18" s="38"/>
    </row>
    <row r="19" spans="1:22" x14ac:dyDescent="0.25">
      <c r="A19" s="67">
        <v>17</v>
      </c>
      <c r="B19" s="2" t="s">
        <v>475</v>
      </c>
      <c r="C19" s="6"/>
      <c r="D19" s="6"/>
      <c r="E19" s="6"/>
      <c r="F19" s="6"/>
      <c r="G19" s="6"/>
      <c r="H19" s="6"/>
      <c r="I19" s="29"/>
      <c r="J19" s="29"/>
      <c r="K19" s="29"/>
      <c r="L19" s="29"/>
      <c r="M19" s="29"/>
      <c r="N19" s="29"/>
      <c r="O19" s="29"/>
      <c r="P19" s="29"/>
      <c r="Q19" s="29"/>
      <c r="R19" s="124">
        <f t="shared" si="0"/>
        <v>0</v>
      </c>
      <c r="S19" s="124"/>
      <c r="T19" s="28"/>
      <c r="U19" s="7">
        <f t="shared" si="1"/>
        <v>0</v>
      </c>
    </row>
    <row r="20" spans="1:22" x14ac:dyDescent="0.25">
      <c r="A20" s="67">
        <v>18</v>
      </c>
      <c r="B20" s="2" t="s">
        <v>490</v>
      </c>
      <c r="C20" s="6"/>
      <c r="D20" s="6"/>
      <c r="E20" s="6"/>
      <c r="F20" s="6"/>
      <c r="G20" s="6"/>
      <c r="H20" s="6"/>
      <c r="I20" s="29"/>
      <c r="J20" s="29"/>
      <c r="K20" s="29"/>
      <c r="L20" s="29"/>
      <c r="M20" s="29"/>
      <c r="N20" s="29"/>
      <c r="O20" s="29"/>
      <c r="P20" s="29"/>
      <c r="Q20" s="29"/>
      <c r="R20" s="124">
        <f t="shared" si="0"/>
        <v>0</v>
      </c>
      <c r="S20" s="124"/>
      <c r="T20" s="28"/>
      <c r="U20" s="7">
        <f t="shared" si="1"/>
        <v>0</v>
      </c>
    </row>
    <row r="21" spans="1:22" x14ac:dyDescent="0.25">
      <c r="A21" s="67">
        <v>19</v>
      </c>
      <c r="B21" s="2" t="s">
        <v>491</v>
      </c>
      <c r="C21" s="6"/>
      <c r="D21" s="6"/>
      <c r="E21" s="6"/>
      <c r="F21" s="6"/>
      <c r="G21" s="6"/>
      <c r="H21" s="6"/>
      <c r="I21" s="29"/>
      <c r="J21" s="29"/>
      <c r="K21" s="29"/>
      <c r="L21" s="29"/>
      <c r="M21" s="29"/>
      <c r="N21" s="29"/>
      <c r="O21" s="29"/>
      <c r="P21" s="29"/>
      <c r="Q21" s="29"/>
      <c r="R21" s="124">
        <f t="shared" si="0"/>
        <v>0</v>
      </c>
      <c r="S21" s="124"/>
      <c r="T21" s="28"/>
      <c r="U21" s="7">
        <f t="shared" si="1"/>
        <v>0</v>
      </c>
    </row>
    <row r="22" spans="1:22" x14ac:dyDescent="0.25">
      <c r="A22" s="67">
        <v>20</v>
      </c>
      <c r="B22" s="2" t="s">
        <v>477</v>
      </c>
      <c r="C22" s="6"/>
      <c r="D22" s="6"/>
      <c r="E22" s="6"/>
      <c r="F22" s="6"/>
      <c r="G22" s="6"/>
      <c r="H22" s="6"/>
      <c r="I22" s="29"/>
      <c r="J22" s="29"/>
      <c r="K22" s="29"/>
      <c r="L22" s="29"/>
      <c r="M22" s="29"/>
      <c r="N22" s="29"/>
      <c r="O22" s="29"/>
      <c r="P22" s="29"/>
      <c r="Q22" s="29"/>
      <c r="R22" s="124">
        <f t="shared" si="0"/>
        <v>0</v>
      </c>
      <c r="S22" s="124"/>
      <c r="T22" s="28"/>
      <c r="U22" s="7">
        <f t="shared" si="1"/>
        <v>0</v>
      </c>
    </row>
    <row r="23" spans="1:22" x14ac:dyDescent="0.25">
      <c r="A23" s="67">
        <v>21</v>
      </c>
      <c r="B23" s="2" t="s">
        <v>492</v>
      </c>
      <c r="C23" s="6"/>
      <c r="D23" s="6"/>
      <c r="E23" s="6">
        <f>156*1*1.1</f>
        <v>171.60000000000002</v>
      </c>
      <c r="F23" s="6">
        <f>30*1*1.1</f>
        <v>33</v>
      </c>
      <c r="G23" s="6"/>
      <c r="H23" s="6"/>
      <c r="I23" s="29"/>
      <c r="J23" s="29"/>
      <c r="K23" s="29"/>
      <c r="L23" s="29"/>
      <c r="M23" s="29"/>
      <c r="N23" s="29"/>
      <c r="O23" s="29"/>
      <c r="P23" s="29"/>
      <c r="Q23" s="29"/>
      <c r="R23" s="124">
        <f t="shared" si="0"/>
        <v>204.60000000000002</v>
      </c>
      <c r="S23" s="124"/>
      <c r="T23" s="28"/>
      <c r="U23" s="7">
        <f t="shared" si="1"/>
        <v>5.5316176470588232</v>
      </c>
    </row>
    <row r="24" spans="1:22" x14ac:dyDescent="0.25">
      <c r="A24" s="67">
        <v>22</v>
      </c>
      <c r="B24" s="2" t="s">
        <v>493</v>
      </c>
      <c r="C24" s="6"/>
      <c r="D24" s="6"/>
      <c r="E24" s="6">
        <f>(156-24)*1*1.1</f>
        <v>145.20000000000002</v>
      </c>
      <c r="F24" s="6">
        <f>30*1*1.1</f>
        <v>33</v>
      </c>
      <c r="G24" s="6"/>
      <c r="H24" s="6"/>
      <c r="I24" s="29"/>
      <c r="J24" s="29"/>
      <c r="K24" s="29"/>
      <c r="L24" s="29"/>
      <c r="M24" s="29"/>
      <c r="N24" s="29"/>
      <c r="O24" s="29"/>
      <c r="P24" s="29"/>
      <c r="Q24" s="29"/>
      <c r="R24" s="124">
        <f t="shared" si="0"/>
        <v>178.20000000000002</v>
      </c>
      <c r="S24" s="124"/>
      <c r="T24" s="28"/>
      <c r="U24" s="7">
        <f t="shared" si="1"/>
        <v>5.4345588235294118</v>
      </c>
    </row>
    <row r="25" spans="1:22" x14ac:dyDescent="0.25">
      <c r="A25" s="67">
        <v>23</v>
      </c>
      <c r="B25" s="2" t="s">
        <v>494</v>
      </c>
      <c r="C25" s="6"/>
      <c r="D25" s="6"/>
      <c r="E25" s="6"/>
      <c r="F25" s="6"/>
      <c r="G25" s="6"/>
      <c r="H25" s="6"/>
      <c r="I25" s="29"/>
      <c r="J25" s="29"/>
      <c r="K25" s="29"/>
      <c r="L25" s="29"/>
      <c r="M25" s="29"/>
      <c r="N25" s="29"/>
      <c r="O25" s="29"/>
      <c r="P25" s="29"/>
      <c r="Q25" s="29"/>
      <c r="R25" s="124">
        <f t="shared" si="0"/>
        <v>0</v>
      </c>
      <c r="S25" s="124"/>
      <c r="T25" s="28"/>
      <c r="U25" s="7">
        <f t="shared" si="1"/>
        <v>0</v>
      </c>
    </row>
    <row r="26" spans="1:22" x14ac:dyDescent="0.25">
      <c r="A26" s="67">
        <v>24</v>
      </c>
      <c r="B26" s="2" t="s">
        <v>476</v>
      </c>
      <c r="C26" s="6"/>
      <c r="D26" s="6"/>
      <c r="E26" s="6"/>
      <c r="F26" s="6"/>
      <c r="G26" s="6"/>
      <c r="H26" s="6"/>
      <c r="I26" s="29"/>
      <c r="J26" s="29"/>
      <c r="K26" s="29"/>
      <c r="L26" s="29"/>
      <c r="M26" s="29"/>
      <c r="N26" s="29"/>
      <c r="O26" s="29"/>
      <c r="P26" s="29"/>
      <c r="Q26" s="29"/>
      <c r="R26" s="124">
        <f t="shared" si="0"/>
        <v>0</v>
      </c>
      <c r="S26" s="124"/>
      <c r="T26" s="28"/>
      <c r="U26" s="7">
        <f t="shared" si="1"/>
        <v>0</v>
      </c>
    </row>
    <row r="27" spans="1:22" x14ac:dyDescent="0.25">
      <c r="A27" s="67">
        <v>25</v>
      </c>
      <c r="B27" s="2" t="s">
        <v>495</v>
      </c>
      <c r="C27" s="6"/>
      <c r="D27" s="6"/>
      <c r="E27" s="6">
        <f>156*(0.7*1.1+0.15*0.9)</f>
        <v>141.18</v>
      </c>
      <c r="F27" s="6"/>
      <c r="G27" s="6"/>
      <c r="H27" s="6"/>
      <c r="I27" s="29"/>
      <c r="J27" s="29"/>
      <c r="K27" s="29"/>
      <c r="L27" s="29"/>
      <c r="M27" s="29"/>
      <c r="N27" s="29"/>
      <c r="O27" s="29"/>
      <c r="P27" s="29"/>
      <c r="Q27" s="29"/>
      <c r="R27" s="124">
        <f t="shared" si="0"/>
        <v>141.18</v>
      </c>
      <c r="S27" s="124"/>
      <c r="T27" s="28"/>
      <c r="U27" s="7">
        <f t="shared" si="1"/>
        <v>5.2984558823529415</v>
      </c>
    </row>
    <row r="28" spans="1:22" x14ac:dyDescent="0.25">
      <c r="A28" s="67">
        <v>26</v>
      </c>
      <c r="B28" s="2" t="s">
        <v>496</v>
      </c>
      <c r="C28" s="6"/>
      <c r="D28" s="6"/>
      <c r="E28" s="6">
        <f>156*1*1.1</f>
        <v>171.60000000000002</v>
      </c>
      <c r="F28" s="6"/>
      <c r="G28" s="6"/>
      <c r="H28" s="6"/>
      <c r="I28" s="29"/>
      <c r="J28" s="29"/>
      <c r="K28" s="29"/>
      <c r="L28" s="29"/>
      <c r="M28" s="29"/>
      <c r="N28" s="29"/>
      <c r="O28" s="29"/>
      <c r="P28" s="29"/>
      <c r="Q28" s="29"/>
      <c r="R28" s="124">
        <f t="shared" si="0"/>
        <v>171.60000000000002</v>
      </c>
      <c r="S28" s="124"/>
      <c r="T28" s="28"/>
      <c r="U28" s="7">
        <f t="shared" si="1"/>
        <v>5.4102941176470587</v>
      </c>
    </row>
    <row r="29" spans="1:22" x14ac:dyDescent="0.25">
      <c r="A29" s="67">
        <v>27</v>
      </c>
      <c r="B29" s="2" t="s">
        <v>472</v>
      </c>
      <c r="C29" s="6">
        <f>140*0.9*1.1</f>
        <v>138.60000000000002</v>
      </c>
      <c r="D29" s="6"/>
      <c r="E29" s="6"/>
      <c r="F29" s="6"/>
      <c r="G29" s="6"/>
      <c r="H29" s="6"/>
      <c r="I29" s="29"/>
      <c r="J29" s="29"/>
      <c r="K29" s="29"/>
      <c r="L29" s="29"/>
      <c r="M29" s="29"/>
      <c r="N29" s="29"/>
      <c r="O29" s="29"/>
      <c r="P29" s="29"/>
      <c r="Q29" s="29"/>
      <c r="R29" s="124">
        <f t="shared" si="0"/>
        <v>138.60000000000002</v>
      </c>
      <c r="S29" s="124"/>
      <c r="T29" s="28"/>
      <c r="U29" s="7">
        <f t="shared" si="1"/>
        <v>5.2889705882352942</v>
      </c>
    </row>
    <row r="30" spans="1:22" x14ac:dyDescent="0.25">
      <c r="A30" s="67">
        <v>28</v>
      </c>
      <c r="B30" s="2" t="s">
        <v>497</v>
      </c>
      <c r="C30" s="6"/>
      <c r="D30" s="6"/>
      <c r="E30" s="6">
        <f>156*1*1.1</f>
        <v>171.60000000000002</v>
      </c>
      <c r="F30" s="6"/>
      <c r="G30" s="6"/>
      <c r="H30" s="6"/>
      <c r="I30" s="29"/>
      <c r="J30" s="29"/>
      <c r="K30" s="29"/>
      <c r="L30" s="29"/>
      <c r="M30" s="29"/>
      <c r="N30" s="29"/>
      <c r="O30" s="29"/>
      <c r="P30" s="29"/>
      <c r="Q30" s="29"/>
      <c r="R30" s="124">
        <f t="shared" si="0"/>
        <v>171.60000000000002</v>
      </c>
      <c r="S30" s="124"/>
      <c r="T30" s="28"/>
      <c r="U30" s="7">
        <f t="shared" si="1"/>
        <v>5.4102941176470587</v>
      </c>
    </row>
    <row r="31" spans="1:22" x14ac:dyDescent="0.25">
      <c r="A31" s="67">
        <v>29</v>
      </c>
      <c r="B31" s="124"/>
      <c r="C31" s="6"/>
      <c r="D31" s="6"/>
      <c r="E31" s="6"/>
      <c r="F31" s="6"/>
      <c r="G31" s="6"/>
      <c r="H31" s="6"/>
      <c r="I31" s="29"/>
      <c r="J31" s="29"/>
      <c r="K31" s="29"/>
      <c r="L31" s="29"/>
      <c r="M31" s="29"/>
      <c r="N31" s="29"/>
      <c r="O31" s="29"/>
      <c r="P31" s="29"/>
      <c r="Q31" s="29"/>
      <c r="R31" s="124">
        <f t="shared" si="0"/>
        <v>0</v>
      </c>
      <c r="S31" s="124"/>
      <c r="T31" s="28"/>
      <c r="U31" s="7">
        <f t="shared" si="1"/>
        <v>0</v>
      </c>
    </row>
    <row r="32" spans="1:22" x14ac:dyDescent="0.25">
      <c r="A32" s="67">
        <v>30</v>
      </c>
      <c r="B32" s="124"/>
      <c r="C32" s="6"/>
      <c r="D32" s="6"/>
      <c r="E32" s="6"/>
      <c r="F32" s="6"/>
      <c r="G32" s="6"/>
      <c r="H32" s="6"/>
      <c r="I32" s="29"/>
      <c r="J32" s="29"/>
      <c r="K32" s="29"/>
      <c r="L32" s="29"/>
      <c r="M32" s="29"/>
      <c r="N32" s="29"/>
      <c r="O32" s="29"/>
      <c r="P32" s="29"/>
      <c r="Q32" s="29"/>
      <c r="R32" s="124">
        <f t="shared" si="0"/>
        <v>0</v>
      </c>
      <c r="S32" s="124"/>
      <c r="T32" s="28"/>
      <c r="U32" s="7">
        <f t="shared" si="1"/>
        <v>0</v>
      </c>
    </row>
    <row r="33" spans="1:21" x14ac:dyDescent="0.25">
      <c r="A33" s="67"/>
      <c r="B33" s="65" t="s">
        <v>124</v>
      </c>
      <c r="C33" s="65" t="s">
        <v>156</v>
      </c>
      <c r="D33" s="65" t="s">
        <v>155</v>
      </c>
      <c r="E33" s="65" t="s">
        <v>242</v>
      </c>
      <c r="F33" s="65" t="s">
        <v>342</v>
      </c>
      <c r="G33" s="65" t="s">
        <v>268</v>
      </c>
      <c r="H33" s="65" t="s">
        <v>269</v>
      </c>
      <c r="I33" s="65" t="s">
        <v>270</v>
      </c>
      <c r="J33" s="65" t="s">
        <v>271</v>
      </c>
      <c r="K33" s="65" t="s">
        <v>272</v>
      </c>
      <c r="L33" s="65" t="s">
        <v>273</v>
      </c>
      <c r="M33" s="65" t="s">
        <v>274</v>
      </c>
      <c r="N33" s="65" t="s">
        <v>275</v>
      </c>
      <c r="O33" s="65" t="s">
        <v>276</v>
      </c>
      <c r="P33" s="65" t="s">
        <v>419</v>
      </c>
      <c r="Q33" s="65" t="s">
        <v>343</v>
      </c>
      <c r="R33" s="10" t="s">
        <v>0</v>
      </c>
      <c r="S33" s="10" t="s">
        <v>1</v>
      </c>
      <c r="T33" s="10" t="s">
        <v>47</v>
      </c>
      <c r="U33" s="10" t="s">
        <v>12</v>
      </c>
    </row>
    <row r="34" spans="1:21" x14ac:dyDescent="0.25">
      <c r="A34" s="67">
        <v>1</v>
      </c>
      <c r="B34" s="2" t="s">
        <v>422</v>
      </c>
      <c r="C34" s="6"/>
      <c r="D34" s="6"/>
      <c r="E34" s="6"/>
      <c r="F34" s="6"/>
      <c r="G34" s="6"/>
      <c r="H34" s="6"/>
      <c r="I34" s="29"/>
      <c r="J34" s="29"/>
      <c r="K34" s="29"/>
      <c r="L34" s="29"/>
      <c r="M34" s="29"/>
      <c r="N34" s="29"/>
      <c r="O34" s="29"/>
      <c r="P34" s="29"/>
      <c r="Q34" s="29"/>
      <c r="R34" s="3">
        <f>SUM(C34:Q34)</f>
        <v>0</v>
      </c>
      <c r="S34" s="3"/>
      <c r="T34" s="28"/>
      <c r="U34" s="7">
        <f>NormalizeResult($C$71,$D$71,$C$70,$D$70,$C$69,$D$69,R34)+S34+IF(T34&gt;$T$64,T34*$T$65,0)</f>
        <v>0</v>
      </c>
    </row>
    <row r="35" spans="1:21" x14ac:dyDescent="0.25">
      <c r="A35" s="67">
        <v>2</v>
      </c>
      <c r="B35" s="2" t="s">
        <v>423</v>
      </c>
      <c r="C35" s="6"/>
      <c r="D35" s="6"/>
      <c r="E35" s="6"/>
      <c r="F35" s="6"/>
      <c r="G35" s="6"/>
      <c r="H35" s="6"/>
      <c r="I35" s="29"/>
      <c r="J35" s="29"/>
      <c r="K35" s="29"/>
      <c r="L35" s="29"/>
      <c r="M35" s="29"/>
      <c r="N35" s="29"/>
      <c r="O35" s="29"/>
      <c r="P35" s="29"/>
      <c r="Q35" s="29"/>
      <c r="R35" s="124">
        <f t="shared" ref="R35:R63" si="2">SUM(C35:Q35)</f>
        <v>0</v>
      </c>
      <c r="S35" s="124"/>
      <c r="T35" s="28"/>
      <c r="U35" s="7">
        <f t="shared" ref="U35:U63" si="3">NormalizeResult($C$71,$D$71,$C$70,$D$70,$C$69,$D$69,R35)+S35+IF(T35&gt;$T$64,T35*$T$65,0)</f>
        <v>0</v>
      </c>
    </row>
    <row r="36" spans="1:21" x14ac:dyDescent="0.25">
      <c r="A36" s="67">
        <v>3</v>
      </c>
      <c r="B36" s="2" t="s">
        <v>424</v>
      </c>
      <c r="C36" s="6"/>
      <c r="D36" s="6"/>
      <c r="E36" s="6"/>
      <c r="F36" s="6"/>
      <c r="G36" s="6"/>
      <c r="H36" s="6"/>
      <c r="I36" s="29"/>
      <c r="J36" s="29"/>
      <c r="K36" s="29"/>
      <c r="L36" s="29"/>
      <c r="M36" s="29"/>
      <c r="N36" s="29"/>
      <c r="O36" s="29"/>
      <c r="P36" s="29"/>
      <c r="Q36" s="29"/>
      <c r="R36" s="124">
        <f t="shared" si="2"/>
        <v>0</v>
      </c>
      <c r="S36" s="124"/>
      <c r="T36" s="28"/>
      <c r="U36" s="7">
        <f t="shared" si="3"/>
        <v>0</v>
      </c>
    </row>
    <row r="37" spans="1:21" x14ac:dyDescent="0.25">
      <c r="A37" s="67">
        <v>4</v>
      </c>
      <c r="B37" s="2" t="s">
        <v>425</v>
      </c>
      <c r="C37" s="6"/>
      <c r="D37" s="6"/>
      <c r="E37" s="6"/>
      <c r="F37" s="6"/>
      <c r="G37" s="6"/>
      <c r="H37" s="6"/>
      <c r="I37" s="29"/>
      <c r="J37" s="29"/>
      <c r="K37" s="29"/>
      <c r="L37" s="29"/>
      <c r="M37" s="29"/>
      <c r="N37" s="29"/>
      <c r="O37" s="29"/>
      <c r="P37" s="29"/>
      <c r="Q37" s="29"/>
      <c r="R37" s="124">
        <f t="shared" si="2"/>
        <v>0</v>
      </c>
      <c r="S37" s="124"/>
      <c r="T37" s="28"/>
      <c r="U37" s="7">
        <f t="shared" si="3"/>
        <v>0</v>
      </c>
    </row>
    <row r="38" spans="1:21" x14ac:dyDescent="0.25">
      <c r="A38" s="67">
        <v>5</v>
      </c>
      <c r="B38" s="2" t="s">
        <v>426</v>
      </c>
      <c r="C38" s="6"/>
      <c r="D38" s="6"/>
      <c r="E38" s="6"/>
      <c r="F38" s="6"/>
      <c r="G38" s="6"/>
      <c r="H38" s="6"/>
      <c r="I38" s="29"/>
      <c r="J38" s="29"/>
      <c r="K38" s="29"/>
      <c r="L38" s="29"/>
      <c r="M38" s="29"/>
      <c r="N38" s="29"/>
      <c r="O38" s="29"/>
      <c r="P38" s="29"/>
      <c r="Q38" s="29"/>
      <c r="R38" s="124">
        <f t="shared" si="2"/>
        <v>0</v>
      </c>
      <c r="S38" s="124"/>
      <c r="T38" s="28"/>
      <c r="U38" s="7">
        <f t="shared" si="3"/>
        <v>0</v>
      </c>
    </row>
    <row r="39" spans="1:21" x14ac:dyDescent="0.25">
      <c r="A39" s="67">
        <v>6</v>
      </c>
      <c r="B39" s="2" t="s">
        <v>427</v>
      </c>
      <c r="C39" s="6"/>
      <c r="D39" s="6"/>
      <c r="E39" s="6"/>
      <c r="F39" s="6"/>
      <c r="G39" s="6">
        <f>(90-36)*0.6*1.1+30*0.6*0.9+(90-6)*0.2*0.6</f>
        <v>61.92</v>
      </c>
      <c r="H39" s="6"/>
      <c r="I39" s="29"/>
      <c r="J39" s="29"/>
      <c r="K39" s="29"/>
      <c r="L39" s="29"/>
      <c r="M39" s="29"/>
      <c r="N39" s="29"/>
      <c r="O39" s="29"/>
      <c r="P39" s="29"/>
      <c r="Q39" s="29"/>
      <c r="R39" s="124">
        <f t="shared" si="2"/>
        <v>61.92</v>
      </c>
      <c r="S39" s="124"/>
      <c r="T39" s="28"/>
      <c r="U39" s="7">
        <f t="shared" si="3"/>
        <v>5.0070588235294116</v>
      </c>
    </row>
    <row r="40" spans="1:21" x14ac:dyDescent="0.25">
      <c r="A40" s="67">
        <v>7</v>
      </c>
      <c r="B40" s="2" t="s">
        <v>428</v>
      </c>
      <c r="C40" s="6"/>
      <c r="D40" s="6"/>
      <c r="E40" s="6"/>
      <c r="F40" s="6"/>
      <c r="G40" s="6"/>
      <c r="H40" s="6"/>
      <c r="I40" s="29"/>
      <c r="J40" s="29"/>
      <c r="K40" s="29"/>
      <c r="L40" s="29"/>
      <c r="M40" s="29"/>
      <c r="N40" s="29"/>
      <c r="O40" s="29"/>
      <c r="P40" s="29"/>
      <c r="Q40" s="29"/>
      <c r="R40" s="124">
        <f t="shared" si="2"/>
        <v>0</v>
      </c>
      <c r="S40" s="124"/>
      <c r="T40" s="28"/>
      <c r="U40" s="7">
        <f t="shared" si="3"/>
        <v>0</v>
      </c>
    </row>
    <row r="41" spans="1:21" x14ac:dyDescent="0.25">
      <c r="A41" s="67">
        <v>8</v>
      </c>
      <c r="B41" s="2" t="s">
        <v>429</v>
      </c>
      <c r="C41" s="6"/>
      <c r="D41" s="6"/>
      <c r="E41" s="6"/>
      <c r="F41" s="6"/>
      <c r="G41" s="6"/>
      <c r="H41" s="6"/>
      <c r="I41" s="29"/>
      <c r="J41" s="29"/>
      <c r="K41" s="29"/>
      <c r="L41" s="29"/>
      <c r="M41" s="29"/>
      <c r="N41" s="29"/>
      <c r="O41" s="29"/>
      <c r="P41" s="29"/>
      <c r="Q41" s="29"/>
      <c r="R41" s="124">
        <f t="shared" si="2"/>
        <v>0</v>
      </c>
      <c r="S41" s="124"/>
      <c r="T41" s="28"/>
      <c r="U41" s="7">
        <f t="shared" si="3"/>
        <v>0</v>
      </c>
    </row>
    <row r="42" spans="1:21" x14ac:dyDescent="0.25">
      <c r="A42" s="67">
        <v>9</v>
      </c>
      <c r="B42" s="2" t="s">
        <v>430</v>
      </c>
      <c r="C42" s="6"/>
      <c r="D42" s="6"/>
      <c r="E42" s="6"/>
      <c r="F42" s="6"/>
      <c r="G42" s="6"/>
      <c r="H42" s="6"/>
      <c r="I42" s="29"/>
      <c r="J42" s="29"/>
      <c r="K42" s="29"/>
      <c r="L42" s="29"/>
      <c r="M42" s="29"/>
      <c r="N42" s="29"/>
      <c r="O42" s="29"/>
      <c r="P42" s="29"/>
      <c r="Q42" s="29"/>
      <c r="R42" s="124">
        <f t="shared" si="2"/>
        <v>0</v>
      </c>
      <c r="S42" s="124"/>
      <c r="T42" s="28"/>
      <c r="U42" s="7">
        <f t="shared" si="3"/>
        <v>0</v>
      </c>
    </row>
    <row r="43" spans="1:21" x14ac:dyDescent="0.25">
      <c r="A43" s="67">
        <v>10</v>
      </c>
      <c r="B43" s="2" t="s">
        <v>431</v>
      </c>
      <c r="C43" s="6"/>
      <c r="D43" s="6">
        <f>120*1*1.1</f>
        <v>132</v>
      </c>
      <c r="E43" s="6"/>
      <c r="F43" s="6"/>
      <c r="G43" s="6"/>
      <c r="H43" s="6"/>
      <c r="I43" s="29"/>
      <c r="J43" s="29"/>
      <c r="K43" s="29"/>
      <c r="L43" s="29"/>
      <c r="M43" s="29"/>
      <c r="N43" s="29"/>
      <c r="O43" s="29"/>
      <c r="P43" s="29"/>
      <c r="Q43" s="29"/>
      <c r="R43" s="124">
        <f t="shared" si="2"/>
        <v>132</v>
      </c>
      <c r="S43" s="124"/>
      <c r="T43" s="28"/>
      <c r="U43" s="7">
        <f t="shared" si="3"/>
        <v>5.2647058823529411</v>
      </c>
    </row>
    <row r="44" spans="1:21" x14ac:dyDescent="0.25">
      <c r="A44" s="67">
        <v>11</v>
      </c>
      <c r="B44" s="2" t="s">
        <v>432</v>
      </c>
      <c r="C44" s="6"/>
      <c r="D44" s="6"/>
      <c r="E44" s="6"/>
      <c r="F44" s="6"/>
      <c r="G44" s="6"/>
      <c r="H44" s="6"/>
      <c r="I44" s="29"/>
      <c r="J44" s="29"/>
      <c r="K44" s="29"/>
      <c r="L44" s="29"/>
      <c r="M44" s="29"/>
      <c r="N44" s="29"/>
      <c r="O44" s="29"/>
      <c r="P44" s="29"/>
      <c r="Q44" s="29"/>
      <c r="R44" s="124">
        <f t="shared" si="2"/>
        <v>0</v>
      </c>
      <c r="S44" s="124"/>
      <c r="T44" s="28"/>
      <c r="U44" s="7">
        <f t="shared" si="3"/>
        <v>0</v>
      </c>
    </row>
    <row r="45" spans="1:21" x14ac:dyDescent="0.25">
      <c r="A45" s="67">
        <v>12</v>
      </c>
      <c r="B45" s="2" t="s">
        <v>433</v>
      </c>
      <c r="C45" s="6"/>
      <c r="D45" s="6"/>
      <c r="E45" s="6"/>
      <c r="F45" s="6"/>
      <c r="G45" s="6"/>
      <c r="H45" s="6"/>
      <c r="I45" s="29"/>
      <c r="J45" s="29"/>
      <c r="K45" s="29"/>
      <c r="L45" s="29"/>
      <c r="M45" s="29"/>
      <c r="N45" s="29"/>
      <c r="O45" s="29"/>
      <c r="P45" s="29"/>
      <c r="Q45" s="29"/>
      <c r="R45" s="124">
        <f t="shared" si="2"/>
        <v>0</v>
      </c>
      <c r="S45" s="124"/>
      <c r="T45" s="28"/>
      <c r="U45" s="7">
        <f t="shared" si="3"/>
        <v>0</v>
      </c>
    </row>
    <row r="46" spans="1:21" x14ac:dyDescent="0.25">
      <c r="A46" s="67">
        <v>13</v>
      </c>
      <c r="B46" s="2" t="s">
        <v>434</v>
      </c>
      <c r="C46" s="6"/>
      <c r="D46" s="6"/>
      <c r="E46" s="6"/>
      <c r="F46" s="6"/>
      <c r="G46" s="6"/>
      <c r="H46" s="6"/>
      <c r="I46" s="29"/>
      <c r="J46" s="29"/>
      <c r="K46" s="29"/>
      <c r="L46" s="29"/>
      <c r="M46" s="29"/>
      <c r="N46" s="29"/>
      <c r="O46" s="29"/>
      <c r="P46" s="29"/>
      <c r="Q46" s="29"/>
      <c r="R46" s="124">
        <f t="shared" si="2"/>
        <v>0</v>
      </c>
      <c r="S46" s="124"/>
      <c r="T46" s="28"/>
      <c r="U46" s="7">
        <f t="shared" si="3"/>
        <v>0</v>
      </c>
    </row>
    <row r="47" spans="1:21" x14ac:dyDescent="0.25">
      <c r="A47" s="67">
        <v>14</v>
      </c>
      <c r="B47" s="2" t="s">
        <v>435</v>
      </c>
      <c r="C47" s="6"/>
      <c r="D47" s="6"/>
      <c r="E47" s="6"/>
      <c r="F47" s="6"/>
      <c r="G47" s="6"/>
      <c r="H47" s="6"/>
      <c r="I47" s="29"/>
      <c r="J47" s="29"/>
      <c r="K47" s="29"/>
      <c r="L47" s="29"/>
      <c r="M47" s="29"/>
      <c r="N47" s="29"/>
      <c r="O47" s="29"/>
      <c r="P47" s="29"/>
      <c r="Q47" s="29"/>
      <c r="R47" s="124">
        <f t="shared" si="2"/>
        <v>0</v>
      </c>
      <c r="S47" s="124"/>
      <c r="T47" s="28"/>
      <c r="U47" s="7">
        <f t="shared" si="3"/>
        <v>0</v>
      </c>
    </row>
    <row r="48" spans="1:21" x14ac:dyDescent="0.25">
      <c r="A48" s="67">
        <v>15</v>
      </c>
      <c r="B48" s="2" t="s">
        <v>436</v>
      </c>
      <c r="C48" s="6"/>
      <c r="D48" s="6">
        <f>120*1*0.9</f>
        <v>108</v>
      </c>
      <c r="E48" s="6"/>
      <c r="F48" s="6"/>
      <c r="G48" s="6"/>
      <c r="H48" s="6"/>
      <c r="I48" s="29"/>
      <c r="J48" s="29"/>
      <c r="K48" s="29"/>
      <c r="L48" s="29"/>
      <c r="M48" s="29"/>
      <c r="N48" s="29"/>
      <c r="O48" s="29"/>
      <c r="P48" s="29"/>
      <c r="Q48" s="29"/>
      <c r="R48" s="124">
        <f t="shared" si="2"/>
        <v>108</v>
      </c>
      <c r="S48" s="124"/>
      <c r="T48" s="28"/>
      <c r="U48" s="7">
        <f t="shared" si="3"/>
        <v>5.1764705882352944</v>
      </c>
    </row>
    <row r="49" spans="1:21" x14ac:dyDescent="0.25">
      <c r="A49" s="67">
        <v>16</v>
      </c>
      <c r="B49" s="2" t="s">
        <v>437</v>
      </c>
      <c r="C49" s="6"/>
      <c r="D49" s="6"/>
      <c r="E49" s="6"/>
      <c r="F49" s="6"/>
      <c r="G49" s="6"/>
      <c r="H49" s="6"/>
      <c r="I49" s="29"/>
      <c r="J49" s="29"/>
      <c r="K49" s="29"/>
      <c r="L49" s="29"/>
      <c r="M49" s="29"/>
      <c r="N49" s="29"/>
      <c r="O49" s="29"/>
      <c r="P49" s="29"/>
      <c r="Q49" s="29"/>
      <c r="R49" s="124">
        <f t="shared" si="2"/>
        <v>0</v>
      </c>
      <c r="S49" s="124"/>
      <c r="T49" s="28"/>
      <c r="U49" s="7">
        <f t="shared" si="3"/>
        <v>0</v>
      </c>
    </row>
    <row r="50" spans="1:21" x14ac:dyDescent="0.25">
      <c r="A50" s="67">
        <v>17</v>
      </c>
      <c r="B50" s="2" t="s">
        <v>438</v>
      </c>
      <c r="C50" s="6"/>
      <c r="D50" s="6"/>
      <c r="E50" s="6">
        <f>156*(0.8*0.9+0.2*0.6)</f>
        <v>131.04000000000002</v>
      </c>
      <c r="F50" s="6"/>
      <c r="G50" s="6"/>
      <c r="H50" s="6"/>
      <c r="I50" s="29"/>
      <c r="J50" s="29"/>
      <c r="K50" s="29"/>
      <c r="L50" s="29"/>
      <c r="M50" s="29"/>
      <c r="N50" s="29"/>
      <c r="O50" s="29"/>
      <c r="P50" s="29"/>
      <c r="Q50" s="29"/>
      <c r="R50" s="124">
        <f t="shared" si="2"/>
        <v>131.04000000000002</v>
      </c>
      <c r="S50" s="124"/>
      <c r="T50" s="28"/>
      <c r="U50" s="7">
        <f t="shared" si="3"/>
        <v>5.2611764705882358</v>
      </c>
    </row>
    <row r="51" spans="1:21" x14ac:dyDescent="0.25">
      <c r="A51" s="67">
        <v>18</v>
      </c>
      <c r="B51" s="2" t="s">
        <v>439</v>
      </c>
      <c r="C51" s="6"/>
      <c r="D51" s="6"/>
      <c r="E51" s="6"/>
      <c r="F51" s="6"/>
      <c r="G51" s="6"/>
      <c r="H51" s="6"/>
      <c r="I51" s="29"/>
      <c r="J51" s="29"/>
      <c r="K51" s="29"/>
      <c r="L51" s="29"/>
      <c r="M51" s="29"/>
      <c r="N51" s="29"/>
      <c r="O51" s="29"/>
      <c r="P51" s="29"/>
      <c r="Q51" s="29"/>
      <c r="R51" s="124">
        <f t="shared" si="2"/>
        <v>0</v>
      </c>
      <c r="S51" s="124"/>
      <c r="T51" s="28"/>
      <c r="U51" s="7">
        <f t="shared" si="3"/>
        <v>0</v>
      </c>
    </row>
    <row r="52" spans="1:21" x14ac:dyDescent="0.25">
      <c r="A52" s="67">
        <v>19</v>
      </c>
      <c r="B52" s="2" t="s">
        <v>440</v>
      </c>
      <c r="C52" s="6"/>
      <c r="D52" s="6"/>
      <c r="E52" s="6"/>
      <c r="F52" s="6"/>
      <c r="G52" s="6"/>
      <c r="H52" s="6"/>
      <c r="I52" s="29"/>
      <c r="J52" s="29"/>
      <c r="K52" s="29"/>
      <c r="L52" s="29"/>
      <c r="M52" s="29"/>
      <c r="N52" s="29"/>
      <c r="O52" s="29"/>
      <c r="P52" s="29"/>
      <c r="Q52" s="29"/>
      <c r="R52" s="124">
        <f t="shared" si="2"/>
        <v>0</v>
      </c>
      <c r="S52" s="124"/>
      <c r="T52" s="28"/>
      <c r="U52" s="7">
        <f t="shared" si="3"/>
        <v>0</v>
      </c>
    </row>
    <row r="53" spans="1:21" x14ac:dyDescent="0.25">
      <c r="A53" s="67">
        <v>20</v>
      </c>
      <c r="B53" s="2" t="s">
        <v>441</v>
      </c>
      <c r="C53" s="6"/>
      <c r="D53" s="6"/>
      <c r="E53" s="6"/>
      <c r="F53" s="6"/>
      <c r="G53" s="6"/>
      <c r="H53" s="6"/>
      <c r="I53" s="29"/>
      <c r="J53" s="29"/>
      <c r="K53" s="29"/>
      <c r="L53" s="29"/>
      <c r="M53" s="29"/>
      <c r="N53" s="29"/>
      <c r="O53" s="29"/>
      <c r="P53" s="29"/>
      <c r="Q53" s="29"/>
      <c r="R53" s="124">
        <f t="shared" si="2"/>
        <v>0</v>
      </c>
      <c r="S53" s="124"/>
      <c r="T53" s="28"/>
      <c r="U53" s="7">
        <f t="shared" si="3"/>
        <v>0</v>
      </c>
    </row>
    <row r="54" spans="1:21" x14ac:dyDescent="0.25">
      <c r="A54" s="67">
        <v>21</v>
      </c>
      <c r="B54" s="2" t="s">
        <v>442</v>
      </c>
      <c r="C54" s="6"/>
      <c r="D54" s="6"/>
      <c r="E54" s="6"/>
      <c r="F54" s="6"/>
      <c r="G54" s="6"/>
      <c r="H54" s="6"/>
      <c r="I54" s="29"/>
      <c r="J54" s="29"/>
      <c r="K54" s="29"/>
      <c r="L54" s="29"/>
      <c r="M54" s="29"/>
      <c r="N54" s="29"/>
      <c r="O54" s="29"/>
      <c r="P54" s="29"/>
      <c r="Q54" s="29"/>
      <c r="R54" s="124">
        <f t="shared" si="2"/>
        <v>0</v>
      </c>
      <c r="S54" s="124"/>
      <c r="T54" s="28"/>
      <c r="U54" s="7">
        <f t="shared" si="3"/>
        <v>0</v>
      </c>
    </row>
    <row r="55" spans="1:21" x14ac:dyDescent="0.25">
      <c r="A55" s="67">
        <v>22</v>
      </c>
      <c r="B55" s="2" t="s">
        <v>443</v>
      </c>
      <c r="C55" s="6"/>
      <c r="D55" s="6"/>
      <c r="E55" s="6">
        <f>(156-12)*0.75*1.1+(12*1*0.9)+(156-12)*0.1*0.9+156*0.05*0.6</f>
        <v>147.24000000000004</v>
      </c>
      <c r="F55" s="6">
        <f>30*1*1.1</f>
        <v>33</v>
      </c>
      <c r="G55" s="6"/>
      <c r="H55" s="6"/>
      <c r="I55" s="29"/>
      <c r="J55" s="29"/>
      <c r="K55" s="29"/>
      <c r="L55" s="29"/>
      <c r="M55" s="29"/>
      <c r="N55" s="29"/>
      <c r="O55" s="29"/>
      <c r="P55" s="29"/>
      <c r="Q55" s="29"/>
      <c r="R55" s="124">
        <f t="shared" si="2"/>
        <v>180.24000000000004</v>
      </c>
      <c r="S55" s="124"/>
      <c r="T55" s="28"/>
      <c r="U55" s="7">
        <f t="shared" si="3"/>
        <v>5.4420588235294121</v>
      </c>
    </row>
    <row r="56" spans="1:21" x14ac:dyDescent="0.25">
      <c r="A56" s="67">
        <v>23</v>
      </c>
      <c r="B56" s="2" t="s">
        <v>444</v>
      </c>
      <c r="C56" s="6"/>
      <c r="D56" s="6"/>
      <c r="E56" s="6"/>
      <c r="F56" s="6"/>
      <c r="G56" s="6"/>
      <c r="H56" s="6"/>
      <c r="I56" s="29"/>
      <c r="J56" s="29"/>
      <c r="K56" s="29"/>
      <c r="L56" s="29"/>
      <c r="M56" s="29"/>
      <c r="N56" s="29"/>
      <c r="O56" s="29"/>
      <c r="P56" s="29"/>
      <c r="Q56" s="29"/>
      <c r="R56" s="124">
        <f t="shared" si="2"/>
        <v>0</v>
      </c>
      <c r="S56" s="124"/>
      <c r="T56" s="28"/>
      <c r="U56" s="7">
        <f t="shared" si="3"/>
        <v>0</v>
      </c>
    </row>
    <row r="57" spans="1:21" x14ac:dyDescent="0.25">
      <c r="A57" s="67">
        <v>24</v>
      </c>
      <c r="B57" s="2" t="s">
        <v>445</v>
      </c>
      <c r="C57" s="6"/>
      <c r="D57" s="6"/>
      <c r="E57" s="6"/>
      <c r="F57" s="6"/>
      <c r="G57" s="6"/>
      <c r="H57" s="6"/>
      <c r="I57" s="29"/>
      <c r="J57" s="29"/>
      <c r="K57" s="29"/>
      <c r="L57" s="29"/>
      <c r="M57" s="29"/>
      <c r="N57" s="29"/>
      <c r="O57" s="29"/>
      <c r="P57" s="29"/>
      <c r="Q57" s="29"/>
      <c r="R57" s="124">
        <f t="shared" si="2"/>
        <v>0</v>
      </c>
      <c r="S57" s="124"/>
      <c r="T57" s="28"/>
      <c r="U57" s="7">
        <f t="shared" si="3"/>
        <v>0</v>
      </c>
    </row>
    <row r="58" spans="1:21" x14ac:dyDescent="0.25">
      <c r="A58" s="67">
        <v>25</v>
      </c>
      <c r="B58" s="2" t="s">
        <v>446</v>
      </c>
      <c r="C58" s="6"/>
      <c r="D58" s="6"/>
      <c r="E58" s="6"/>
      <c r="F58" s="6"/>
      <c r="G58" s="6"/>
      <c r="H58" s="6"/>
      <c r="I58" s="29"/>
      <c r="J58" s="29"/>
      <c r="K58" s="29"/>
      <c r="L58" s="29"/>
      <c r="M58" s="29"/>
      <c r="N58" s="29"/>
      <c r="O58" s="29"/>
      <c r="P58" s="29"/>
      <c r="Q58" s="29"/>
      <c r="R58" s="124">
        <f t="shared" si="2"/>
        <v>0</v>
      </c>
      <c r="S58" s="124"/>
      <c r="T58" s="28"/>
      <c r="U58" s="7">
        <f t="shared" si="3"/>
        <v>0</v>
      </c>
    </row>
    <row r="59" spans="1:21" x14ac:dyDescent="0.25">
      <c r="A59" s="67">
        <v>26</v>
      </c>
      <c r="B59" s="2" t="s">
        <v>447</v>
      </c>
      <c r="C59" s="6"/>
      <c r="D59" s="6"/>
      <c r="E59" s="6"/>
      <c r="F59" s="6"/>
      <c r="G59" s="6"/>
      <c r="H59" s="6"/>
      <c r="I59" s="29"/>
      <c r="J59" s="29"/>
      <c r="K59" s="29"/>
      <c r="L59" s="29"/>
      <c r="M59" s="29"/>
      <c r="N59" s="29"/>
      <c r="O59" s="29"/>
      <c r="P59" s="29"/>
      <c r="Q59" s="29"/>
      <c r="R59" s="124">
        <f t="shared" si="2"/>
        <v>0</v>
      </c>
      <c r="S59" s="124"/>
      <c r="T59" s="28"/>
      <c r="U59" s="7">
        <f t="shared" si="3"/>
        <v>0</v>
      </c>
    </row>
    <row r="60" spans="1:21" x14ac:dyDescent="0.25">
      <c r="A60" s="67">
        <v>27</v>
      </c>
      <c r="B60" s="2" t="s">
        <v>448</v>
      </c>
      <c r="C60" s="6"/>
      <c r="D60" s="6"/>
      <c r="E60" s="6">
        <f>156*1*0.7</f>
        <v>109.19999999999999</v>
      </c>
      <c r="F60" s="6">
        <f>30*1*0.7</f>
        <v>21</v>
      </c>
      <c r="G60" s="6"/>
      <c r="H60" s="6"/>
      <c r="I60" s="29"/>
      <c r="J60" s="29"/>
      <c r="K60" s="29"/>
      <c r="L60" s="29"/>
      <c r="M60" s="29"/>
      <c r="N60" s="29"/>
      <c r="O60" s="29"/>
      <c r="P60" s="29"/>
      <c r="Q60" s="29"/>
      <c r="R60" s="124">
        <f t="shared" si="2"/>
        <v>130.19999999999999</v>
      </c>
      <c r="S60" s="124"/>
      <c r="T60" s="28"/>
      <c r="U60" s="7">
        <f t="shared" si="3"/>
        <v>5.2580882352941174</v>
      </c>
    </row>
    <row r="61" spans="1:21" x14ac:dyDescent="0.25">
      <c r="A61" s="67">
        <v>28</v>
      </c>
      <c r="B61" s="124" t="s">
        <v>553</v>
      </c>
      <c r="C61" s="6"/>
      <c r="D61" s="6"/>
      <c r="E61" s="6"/>
      <c r="F61" s="6"/>
      <c r="G61" s="6"/>
      <c r="H61" s="6"/>
      <c r="I61" s="29"/>
      <c r="J61" s="29"/>
      <c r="K61" s="29"/>
      <c r="L61" s="29"/>
      <c r="M61" s="29"/>
      <c r="N61" s="29"/>
      <c r="O61" s="29"/>
      <c r="P61" s="29"/>
      <c r="Q61" s="29"/>
      <c r="R61" s="124">
        <f t="shared" si="2"/>
        <v>0</v>
      </c>
      <c r="S61" s="124"/>
      <c r="T61" s="28"/>
      <c r="U61" s="7">
        <f t="shared" si="3"/>
        <v>0</v>
      </c>
    </row>
    <row r="62" spans="1:21" x14ac:dyDescent="0.25">
      <c r="A62" s="67">
        <v>29</v>
      </c>
      <c r="B62" s="124"/>
      <c r="C62" s="6"/>
      <c r="D62" s="6"/>
      <c r="E62" s="6"/>
      <c r="F62" s="6"/>
      <c r="G62" s="6"/>
      <c r="H62" s="6"/>
      <c r="I62" s="29"/>
      <c r="J62" s="29"/>
      <c r="K62" s="29"/>
      <c r="L62" s="29"/>
      <c r="M62" s="29"/>
      <c r="N62" s="29"/>
      <c r="O62" s="29"/>
      <c r="P62" s="29"/>
      <c r="Q62" s="29"/>
      <c r="R62" s="124">
        <f t="shared" si="2"/>
        <v>0</v>
      </c>
      <c r="S62" s="124"/>
      <c r="T62" s="28"/>
      <c r="U62" s="7">
        <f t="shared" si="3"/>
        <v>0</v>
      </c>
    </row>
    <row r="63" spans="1:21" x14ac:dyDescent="0.25">
      <c r="A63" s="67">
        <v>30</v>
      </c>
      <c r="B63" s="124"/>
      <c r="C63" s="6"/>
      <c r="D63" s="6"/>
      <c r="E63" s="6"/>
      <c r="F63" s="6"/>
      <c r="G63" s="6"/>
      <c r="H63" s="6"/>
      <c r="I63" s="29"/>
      <c r="J63" s="29"/>
      <c r="K63" s="29"/>
      <c r="L63" s="29"/>
      <c r="M63" s="29"/>
      <c r="N63" s="29"/>
      <c r="O63" s="29"/>
      <c r="P63" s="29"/>
      <c r="Q63" s="29"/>
      <c r="R63" s="124">
        <f t="shared" si="2"/>
        <v>0</v>
      </c>
      <c r="S63" s="124"/>
      <c r="T63" s="28"/>
      <c r="U63" s="7">
        <f t="shared" si="3"/>
        <v>0</v>
      </c>
    </row>
    <row r="64" spans="1:21" x14ac:dyDescent="0.25">
      <c r="B64" s="1" t="s">
        <v>18</v>
      </c>
      <c r="C64">
        <v>140</v>
      </c>
      <c r="D64">
        <v>120</v>
      </c>
      <c r="E64">
        <v>156</v>
      </c>
      <c r="F64">
        <v>30</v>
      </c>
      <c r="G64">
        <v>90</v>
      </c>
      <c r="H64">
        <v>110</v>
      </c>
      <c r="I64">
        <v>300</v>
      </c>
      <c r="J64">
        <v>100</v>
      </c>
      <c r="K64">
        <v>20</v>
      </c>
      <c r="L64">
        <v>30</v>
      </c>
      <c r="M64">
        <v>30</v>
      </c>
      <c r="N64">
        <v>20</v>
      </c>
      <c r="T64" s="22">
        <v>0.6</v>
      </c>
    </row>
    <row r="65" spans="2:20" x14ac:dyDescent="0.25">
      <c r="S65" t="s">
        <v>48</v>
      </c>
      <c r="T65" s="27">
        <v>0.2</v>
      </c>
    </row>
    <row r="68" spans="2:20" x14ac:dyDescent="0.25">
      <c r="C68" t="s">
        <v>16</v>
      </c>
      <c r="D68" t="s">
        <v>17</v>
      </c>
      <c r="I68" s="11"/>
      <c r="J68" s="71"/>
      <c r="K68" s="71"/>
      <c r="L68" s="71"/>
      <c r="M68" s="71"/>
      <c r="N68" s="71"/>
      <c r="O68" s="71"/>
      <c r="P68" s="71"/>
      <c r="Q68" s="71"/>
    </row>
    <row r="69" spans="2:20" x14ac:dyDescent="0.25">
      <c r="B69" t="s">
        <v>13</v>
      </c>
      <c r="C69">
        <v>600</v>
      </c>
      <c r="D69">
        <f>D71*1.5</f>
        <v>7.5</v>
      </c>
      <c r="I69" s="12"/>
      <c r="J69" s="12"/>
      <c r="K69" s="12"/>
      <c r="L69" s="12"/>
      <c r="M69" s="12"/>
      <c r="N69" s="12"/>
      <c r="O69" s="12"/>
      <c r="P69" s="12"/>
      <c r="Q69" s="12"/>
    </row>
    <row r="70" spans="2:20" x14ac:dyDescent="0.25">
      <c r="B70" t="s">
        <v>14</v>
      </c>
      <c r="C70">
        <v>400</v>
      </c>
      <c r="D70">
        <f>(D69-D71)*0.5+D71</f>
        <v>6.25</v>
      </c>
    </row>
    <row r="71" spans="2:20" x14ac:dyDescent="0.25">
      <c r="B71" t="s">
        <v>15</v>
      </c>
      <c r="C71">
        <v>60</v>
      </c>
      <c r="D71">
        <v>5</v>
      </c>
    </row>
    <row r="74" spans="2:20" ht="15.75" x14ac:dyDescent="0.3">
      <c r="B74" s="134" t="s">
        <v>159</v>
      </c>
    </row>
    <row r="75" spans="2:20" ht="15.75" x14ac:dyDescent="0.3">
      <c r="B75" s="134" t="s">
        <v>554</v>
      </c>
    </row>
    <row r="76" spans="2:20" ht="15.75" x14ac:dyDescent="0.3">
      <c r="B76" s="134" t="s">
        <v>555</v>
      </c>
    </row>
    <row r="77" spans="2:20" ht="15.75" x14ac:dyDescent="0.3">
      <c r="B77" s="134" t="s">
        <v>556</v>
      </c>
    </row>
    <row r="78" spans="2:20" ht="15.75" x14ac:dyDescent="0.3">
      <c r="B78" s="134" t="s">
        <v>557</v>
      </c>
    </row>
    <row r="79" spans="2:20" ht="15.75" x14ac:dyDescent="0.3">
      <c r="B79" s="134" t="s">
        <v>558</v>
      </c>
    </row>
    <row r="80" spans="2:20" ht="15.75" x14ac:dyDescent="0.3">
      <c r="B80" s="134" t="s">
        <v>559</v>
      </c>
    </row>
    <row r="82" spans="2:2" ht="15.75" x14ac:dyDescent="0.3">
      <c r="B82" s="134" t="s">
        <v>219</v>
      </c>
    </row>
    <row r="83" spans="2:2" ht="15.75" x14ac:dyDescent="0.3">
      <c r="B83" s="134" t="s">
        <v>560</v>
      </c>
    </row>
    <row r="84" spans="2:2" ht="15.75" x14ac:dyDescent="0.3">
      <c r="B84" s="134" t="s">
        <v>561</v>
      </c>
    </row>
    <row r="85" spans="2:2" ht="15.75" x14ac:dyDescent="0.3">
      <c r="B85" s="134" t="s">
        <v>562</v>
      </c>
    </row>
    <row r="86" spans="2:2" ht="15.75" x14ac:dyDescent="0.3">
      <c r="B86" s="134" t="s">
        <v>563</v>
      </c>
    </row>
    <row r="87" spans="2:2" ht="15.75" x14ac:dyDescent="0.3">
      <c r="B87" s="134" t="s">
        <v>564</v>
      </c>
    </row>
    <row r="88" spans="2:2" ht="15.75" x14ac:dyDescent="0.3">
      <c r="B88" s="134" t="s">
        <v>565</v>
      </c>
    </row>
    <row r="89" spans="2:2" x14ac:dyDescent="0.25">
      <c r="B89" s="131"/>
    </row>
    <row r="90" spans="2:2" x14ac:dyDescent="0.25">
      <c r="B90" s="131"/>
    </row>
    <row r="91" spans="2:2" x14ac:dyDescent="0.25">
      <c r="B91" s="120"/>
    </row>
    <row r="92" spans="2:2" x14ac:dyDescent="0.25">
      <c r="B92" s="120"/>
    </row>
    <row r="93" spans="2:2" x14ac:dyDescent="0.25">
      <c r="B93" s="120"/>
    </row>
    <row r="94" spans="2:2" x14ac:dyDescent="0.25">
      <c r="B94" s="120"/>
    </row>
  </sheetData>
  <conditionalFormatting sqref="U34:U63 U2:U32">
    <cfRule type="colorScale" priority="1">
      <colorScale>
        <cfvo type="num" val="0"/>
        <cfvo type="num" val="$D$71"/>
        <cfvo type="num" val="$D$69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R93"/>
  <sheetViews>
    <sheetView zoomScale="85" zoomScaleNormal="85" workbookViewId="0">
      <pane xSplit="2" ySplit="2" topLeftCell="C15" activePane="bottomRight" state="frozen"/>
      <selection pane="topRight" activeCell="C1" sqref="C1"/>
      <selection pane="bottomLeft" activeCell="A3" sqref="A3"/>
      <selection pane="bottomRight" activeCell="I40" sqref="I40"/>
    </sheetView>
  </sheetViews>
  <sheetFormatPr defaultRowHeight="15" x14ac:dyDescent="0.25"/>
  <cols>
    <col min="2" max="2" width="40.42578125" bestFit="1" customWidth="1"/>
    <col min="3" max="3" width="11" bestFit="1" customWidth="1"/>
    <col min="4" max="4" width="8.85546875" bestFit="1" customWidth="1"/>
    <col min="5" max="5" width="9.85546875" bestFit="1" customWidth="1"/>
    <col min="6" max="6" width="14.140625" customWidth="1"/>
    <col min="7" max="7" width="12.85546875" bestFit="1" customWidth="1"/>
    <col min="8" max="8" width="10.42578125" customWidth="1"/>
    <col min="9" max="13" width="19.140625" customWidth="1"/>
    <col min="14" max="15" width="10.28515625" bestFit="1" customWidth="1"/>
    <col min="16" max="16" width="10.28515625" customWidth="1"/>
    <col min="17" max="17" width="11.85546875" customWidth="1"/>
    <col min="18" max="22" width="10.28515625" bestFit="1" customWidth="1"/>
  </cols>
  <sheetData>
    <row r="1" spans="1:17" x14ac:dyDescent="0.25">
      <c r="B1" t="s">
        <v>72</v>
      </c>
    </row>
    <row r="2" spans="1:17" x14ac:dyDescent="0.25">
      <c r="A2" s="67"/>
      <c r="B2" s="65" t="s">
        <v>20</v>
      </c>
      <c r="C2" s="65" t="s">
        <v>73</v>
      </c>
      <c r="D2" s="65" t="s">
        <v>74</v>
      </c>
      <c r="E2" s="65" t="s">
        <v>183</v>
      </c>
      <c r="F2" s="65" t="s">
        <v>184</v>
      </c>
      <c r="G2" s="65" t="s">
        <v>361</v>
      </c>
      <c r="H2" s="65" t="s">
        <v>362</v>
      </c>
      <c r="I2" s="65" t="s">
        <v>363</v>
      </c>
      <c r="J2" s="65" t="s">
        <v>364</v>
      </c>
      <c r="K2" s="65" t="s">
        <v>365</v>
      </c>
      <c r="L2" s="65" t="s">
        <v>341</v>
      </c>
      <c r="M2" s="65" t="s">
        <v>344</v>
      </c>
      <c r="N2" s="10" t="s">
        <v>0</v>
      </c>
      <c r="O2" s="10" t="s">
        <v>1</v>
      </c>
      <c r="P2" s="10" t="s">
        <v>47</v>
      </c>
      <c r="Q2" s="10" t="s">
        <v>12</v>
      </c>
    </row>
    <row r="3" spans="1:17" x14ac:dyDescent="0.25">
      <c r="A3" s="67">
        <v>1</v>
      </c>
      <c r="B3" s="2" t="s">
        <v>466</v>
      </c>
      <c r="C3" s="6"/>
      <c r="D3" s="6"/>
      <c r="E3" s="6"/>
      <c r="F3" s="6"/>
      <c r="G3" s="6"/>
      <c r="H3" s="6"/>
      <c r="I3" s="100">
        <f>100*(0.6*0.7+0.2*0.6)</f>
        <v>54</v>
      </c>
      <c r="J3" s="29"/>
      <c r="K3" s="29"/>
      <c r="L3" s="29"/>
      <c r="M3" s="29"/>
      <c r="N3" s="124">
        <f t="shared" ref="N3:N32" si="0">SUM(C3:M3)</f>
        <v>54</v>
      </c>
      <c r="O3" s="124"/>
      <c r="P3" s="28"/>
      <c r="Q3" s="7">
        <f t="shared" ref="Q3:Q32" si="1">NormalizeResult($C$71,$D$71,$C$70,$D$70,$C$69,$D$69,N3)+O3+IF(P3&gt;$P$64,P3*$P$65,0)</f>
        <v>4.05</v>
      </c>
    </row>
    <row r="4" spans="1:17" x14ac:dyDescent="0.25">
      <c r="A4" s="67">
        <v>2</v>
      </c>
      <c r="B4" s="2" t="s">
        <v>478</v>
      </c>
      <c r="C4" s="6"/>
      <c r="D4" s="6"/>
      <c r="E4" s="6"/>
      <c r="F4" s="6"/>
      <c r="G4" s="6"/>
      <c r="H4" s="6"/>
      <c r="I4" s="100">
        <f>100*(0.2*1.1+0.5*0.9+0.15*0.7 + 0.15*0.6)</f>
        <v>86.5</v>
      </c>
      <c r="J4" s="29"/>
      <c r="K4" s="29"/>
      <c r="L4" s="29"/>
      <c r="M4" s="29"/>
      <c r="N4" s="124">
        <f t="shared" si="0"/>
        <v>86.5</v>
      </c>
      <c r="O4" s="124"/>
      <c r="P4" s="28"/>
      <c r="Q4" s="7">
        <f t="shared" si="1"/>
        <v>6.0696428571428571</v>
      </c>
    </row>
    <row r="5" spans="1:17" x14ac:dyDescent="0.25">
      <c r="A5" s="67">
        <v>3</v>
      </c>
      <c r="B5" t="s">
        <v>449</v>
      </c>
      <c r="C5" s="6"/>
      <c r="D5" s="6"/>
      <c r="E5" s="6"/>
      <c r="F5" s="6"/>
      <c r="G5" s="6"/>
      <c r="H5" s="6"/>
      <c r="I5" s="100">
        <f>100*0.5*1.1</f>
        <v>55.000000000000007</v>
      </c>
      <c r="J5" s="29">
        <f>150*0.8*0.8</f>
        <v>96</v>
      </c>
      <c r="K5" s="29"/>
      <c r="L5" s="29"/>
      <c r="M5" s="29"/>
      <c r="N5" s="3">
        <f>SUM(C5:M5)</f>
        <v>151</v>
      </c>
      <c r="O5" s="3"/>
      <c r="P5" s="28"/>
      <c r="Q5" s="7">
        <f t="shared" si="1"/>
        <v>6.7607142857142861</v>
      </c>
    </row>
    <row r="6" spans="1:17" x14ac:dyDescent="0.25">
      <c r="A6" s="67">
        <v>4</v>
      </c>
      <c r="B6" s="2" t="s">
        <v>479</v>
      </c>
      <c r="C6" s="6"/>
      <c r="D6" s="6"/>
      <c r="E6" s="6"/>
      <c r="F6" s="6"/>
      <c r="G6" s="6"/>
      <c r="H6" s="6"/>
      <c r="I6" s="100"/>
      <c r="J6" s="29"/>
      <c r="K6" s="29"/>
      <c r="L6" s="29"/>
      <c r="M6" s="29"/>
      <c r="N6" s="124">
        <f t="shared" si="0"/>
        <v>0</v>
      </c>
      <c r="O6" s="124"/>
      <c r="P6" s="28"/>
      <c r="Q6" s="7">
        <f t="shared" si="1"/>
        <v>0</v>
      </c>
    </row>
    <row r="7" spans="1:17" x14ac:dyDescent="0.25">
      <c r="A7" s="67">
        <v>5</v>
      </c>
      <c r="B7" s="2" t="s">
        <v>480</v>
      </c>
      <c r="C7" s="6"/>
      <c r="D7" s="6"/>
      <c r="E7" s="6"/>
      <c r="F7" s="6"/>
      <c r="G7" s="6"/>
      <c r="H7" s="6"/>
      <c r="I7" s="100"/>
      <c r="J7" s="29"/>
      <c r="K7" s="29"/>
      <c r="L7" s="29"/>
      <c r="M7" s="29"/>
      <c r="N7" s="124">
        <f t="shared" si="0"/>
        <v>0</v>
      </c>
      <c r="O7" s="124"/>
      <c r="P7" s="28"/>
      <c r="Q7" s="7">
        <f t="shared" si="1"/>
        <v>0</v>
      </c>
    </row>
    <row r="8" spans="1:17" x14ac:dyDescent="0.25">
      <c r="A8" s="67">
        <v>6</v>
      </c>
      <c r="B8" s="2" t="s">
        <v>483</v>
      </c>
      <c r="C8" s="6"/>
      <c r="D8" s="6"/>
      <c r="E8" s="6"/>
      <c r="F8" s="6"/>
      <c r="G8" s="6"/>
      <c r="H8" s="6"/>
      <c r="I8" s="100">
        <f>100*1*1.1</f>
        <v>110.00000000000001</v>
      </c>
      <c r="J8" s="29"/>
      <c r="K8" s="29">
        <f>300*0.9*1</f>
        <v>270</v>
      </c>
      <c r="L8" s="29"/>
      <c r="M8" s="29"/>
      <c r="N8" s="124">
        <f>SUM(C8:M8)</f>
        <v>380</v>
      </c>
      <c r="O8" s="124"/>
      <c r="P8" s="28"/>
      <c r="Q8" s="7">
        <f t="shared" si="1"/>
        <v>9.3461538461538467</v>
      </c>
    </row>
    <row r="9" spans="1:17" x14ac:dyDescent="0.25">
      <c r="A9" s="67">
        <v>7</v>
      </c>
      <c r="B9" s="2" t="s">
        <v>481</v>
      </c>
      <c r="C9" s="6"/>
      <c r="D9" s="6"/>
      <c r="E9" s="6"/>
      <c r="F9" s="6">
        <f>100*(0.87*0.9+0.07*0.6)</f>
        <v>82.5</v>
      </c>
      <c r="G9" s="6"/>
      <c r="H9" s="6"/>
      <c r="I9" s="100"/>
      <c r="J9" s="29">
        <f>150*0.8*1*0</f>
        <v>0</v>
      </c>
      <c r="K9" s="29">
        <f>300*(0.8*0.8+0.2*0.6)</f>
        <v>228.00000000000003</v>
      </c>
      <c r="L9" s="29"/>
      <c r="M9" s="29"/>
      <c r="N9" s="124">
        <f t="shared" si="0"/>
        <v>310.5</v>
      </c>
      <c r="O9" s="124"/>
      <c r="P9" s="28"/>
      <c r="Q9" s="7">
        <f t="shared" si="1"/>
        <v>8.5442307692307686</v>
      </c>
    </row>
    <row r="10" spans="1:17" x14ac:dyDescent="0.25">
      <c r="A10" s="67">
        <v>8</v>
      </c>
      <c r="B10" s="2" t="s">
        <v>482</v>
      </c>
      <c r="C10" s="6"/>
      <c r="D10" s="6"/>
      <c r="E10" s="6"/>
      <c r="F10" s="6"/>
      <c r="G10" s="6"/>
      <c r="H10" s="6"/>
      <c r="I10" s="100"/>
      <c r="J10" s="29"/>
      <c r="K10" s="29"/>
      <c r="L10" s="29"/>
      <c r="M10" s="29"/>
      <c r="N10" s="124">
        <f t="shared" si="0"/>
        <v>0</v>
      </c>
      <c r="O10" s="124"/>
      <c r="P10" s="28"/>
      <c r="Q10" s="7">
        <f t="shared" si="1"/>
        <v>0</v>
      </c>
    </row>
    <row r="11" spans="1:17" x14ac:dyDescent="0.25">
      <c r="A11" s="67">
        <v>9</v>
      </c>
      <c r="B11" s="2" t="s">
        <v>484</v>
      </c>
      <c r="C11" s="6"/>
      <c r="D11" s="6"/>
      <c r="E11" s="6"/>
      <c r="F11" s="6"/>
      <c r="G11" s="6"/>
      <c r="H11" s="6"/>
      <c r="I11" s="100">
        <f>100*1*1.1</f>
        <v>110.00000000000001</v>
      </c>
      <c r="J11" s="29"/>
      <c r="K11" s="29"/>
      <c r="L11" s="29"/>
      <c r="M11" s="29"/>
      <c r="N11" s="124">
        <f t="shared" si="0"/>
        <v>110.00000000000001</v>
      </c>
      <c r="O11" s="124"/>
      <c r="P11" s="28"/>
      <c r="Q11" s="7">
        <f t="shared" si="1"/>
        <v>6.3214285714285712</v>
      </c>
    </row>
    <row r="12" spans="1:17" x14ac:dyDescent="0.25">
      <c r="A12" s="67">
        <v>10</v>
      </c>
      <c r="B12" s="2" t="s">
        <v>485</v>
      </c>
      <c r="C12" s="6"/>
      <c r="D12" s="6"/>
      <c r="E12" s="6"/>
      <c r="F12" s="6"/>
      <c r="G12" s="6"/>
      <c r="H12" s="6"/>
      <c r="I12" s="100"/>
      <c r="J12" s="29"/>
      <c r="K12" s="29"/>
      <c r="L12" s="29"/>
      <c r="M12" s="29"/>
      <c r="N12" s="124">
        <f t="shared" si="0"/>
        <v>0</v>
      </c>
      <c r="O12" s="124"/>
      <c r="P12" s="28"/>
      <c r="Q12" s="7">
        <f t="shared" si="1"/>
        <v>0</v>
      </c>
    </row>
    <row r="13" spans="1:17" x14ac:dyDescent="0.25">
      <c r="A13" s="67">
        <v>11</v>
      </c>
      <c r="B13" s="2" t="s">
        <v>486</v>
      </c>
      <c r="C13" s="6"/>
      <c r="D13" s="6"/>
      <c r="E13" s="6"/>
      <c r="F13" s="6">
        <f>100*0.8*1.1</f>
        <v>88</v>
      </c>
      <c r="G13" s="6"/>
      <c r="H13" s="6"/>
      <c r="I13" s="100"/>
      <c r="J13" s="29">
        <f>150*0.6*1.1</f>
        <v>99.000000000000014</v>
      </c>
      <c r="K13" s="29"/>
      <c r="L13" s="29"/>
      <c r="M13" s="29"/>
      <c r="N13" s="124">
        <f t="shared" si="0"/>
        <v>187</v>
      </c>
      <c r="O13" s="124"/>
      <c r="P13" s="28"/>
      <c r="Q13" s="7">
        <f t="shared" si="1"/>
        <v>7.1464285714285714</v>
      </c>
    </row>
    <row r="14" spans="1:17" x14ac:dyDescent="0.25">
      <c r="A14" s="67">
        <v>12</v>
      </c>
      <c r="B14" s="2" t="s">
        <v>487</v>
      </c>
      <c r="C14" s="6"/>
      <c r="D14" s="6"/>
      <c r="E14" s="6"/>
      <c r="F14" s="6"/>
      <c r="G14" s="6"/>
      <c r="H14" s="6"/>
      <c r="I14" s="100"/>
      <c r="J14" s="29"/>
      <c r="K14" s="29"/>
      <c r="L14" s="29"/>
      <c r="M14" s="29"/>
      <c r="N14" s="124">
        <f t="shared" si="0"/>
        <v>0</v>
      </c>
      <c r="O14" s="124"/>
      <c r="P14" s="28"/>
      <c r="Q14" s="7">
        <f t="shared" si="1"/>
        <v>0</v>
      </c>
    </row>
    <row r="15" spans="1:17" x14ac:dyDescent="0.25">
      <c r="A15" s="67">
        <v>13</v>
      </c>
      <c r="B15" s="2" t="s">
        <v>488</v>
      </c>
      <c r="C15" s="6"/>
      <c r="D15" s="6"/>
      <c r="E15" s="6"/>
      <c r="F15" s="6">
        <f>100*1*0.9</f>
        <v>90</v>
      </c>
      <c r="G15" s="6"/>
      <c r="H15" s="6"/>
      <c r="I15" s="100"/>
      <c r="J15" s="29"/>
      <c r="K15" s="29"/>
      <c r="L15" s="29"/>
      <c r="M15" s="29"/>
      <c r="N15" s="124">
        <f t="shared" si="0"/>
        <v>90</v>
      </c>
      <c r="O15" s="124"/>
      <c r="P15" s="28"/>
      <c r="Q15" s="7">
        <f t="shared" si="1"/>
        <v>6.1071428571428568</v>
      </c>
    </row>
    <row r="16" spans="1:17" x14ac:dyDescent="0.25">
      <c r="A16" s="67">
        <v>14</v>
      </c>
      <c r="B16" s="2" t="s">
        <v>473</v>
      </c>
      <c r="C16" s="6"/>
      <c r="D16" s="6"/>
      <c r="E16" s="6"/>
      <c r="F16" s="6"/>
      <c r="G16" s="6"/>
      <c r="H16" s="6"/>
      <c r="I16" s="100">
        <f>100*0.9*0.9</f>
        <v>81</v>
      </c>
      <c r="J16" s="29"/>
      <c r="K16" s="29"/>
      <c r="L16" s="29"/>
      <c r="M16" s="29"/>
      <c r="N16" s="124">
        <f t="shared" si="0"/>
        <v>81</v>
      </c>
      <c r="O16" s="124"/>
      <c r="P16" s="28"/>
      <c r="Q16" s="7">
        <f t="shared" si="1"/>
        <v>6.0107142857142861</v>
      </c>
    </row>
    <row r="17" spans="1:18" x14ac:dyDescent="0.25">
      <c r="A17" s="67">
        <v>15</v>
      </c>
      <c r="B17" s="2" t="s">
        <v>474</v>
      </c>
      <c r="C17" s="6"/>
      <c r="D17" s="6"/>
      <c r="E17" s="6"/>
      <c r="F17" s="6"/>
      <c r="G17" s="6"/>
      <c r="H17" s="6"/>
      <c r="I17" s="100"/>
      <c r="J17" s="29"/>
      <c r="K17" s="29"/>
      <c r="L17" s="29"/>
      <c r="M17" s="29"/>
      <c r="N17" s="124">
        <f t="shared" si="0"/>
        <v>0</v>
      </c>
      <c r="O17" s="124"/>
      <c r="P17" s="28"/>
      <c r="Q17" s="7">
        <f t="shared" si="1"/>
        <v>0</v>
      </c>
    </row>
    <row r="18" spans="1:18" x14ac:dyDescent="0.25">
      <c r="A18" s="67">
        <v>16</v>
      </c>
      <c r="B18" s="2" t="s">
        <v>489</v>
      </c>
      <c r="C18" s="6"/>
      <c r="D18" s="6"/>
      <c r="E18" s="6"/>
      <c r="F18" s="6"/>
      <c r="G18" s="6"/>
      <c r="H18" s="6">
        <f>50*0.6*0.6</f>
        <v>18</v>
      </c>
      <c r="I18" s="100"/>
      <c r="J18" s="29">
        <f>150*0.65*0.6</f>
        <v>58.5</v>
      </c>
      <c r="K18" s="29"/>
      <c r="L18" s="29"/>
      <c r="M18" s="29"/>
      <c r="N18" s="124">
        <f t="shared" si="0"/>
        <v>76.5</v>
      </c>
      <c r="O18" s="124"/>
      <c r="P18" s="28"/>
      <c r="Q18" s="7">
        <f t="shared" si="1"/>
        <v>5.7374999999999998</v>
      </c>
      <c r="R18" s="38"/>
    </row>
    <row r="19" spans="1:18" x14ac:dyDescent="0.25">
      <c r="A19" s="67">
        <v>17</v>
      </c>
      <c r="B19" s="2" t="s">
        <v>475</v>
      </c>
      <c r="C19" s="6"/>
      <c r="D19" s="6"/>
      <c r="E19" s="6"/>
      <c r="F19" s="6"/>
      <c r="G19" s="6"/>
      <c r="H19" s="6"/>
      <c r="I19" s="100"/>
      <c r="J19" s="29"/>
      <c r="K19" s="29"/>
      <c r="L19" s="29"/>
      <c r="M19" s="29"/>
      <c r="N19" s="124">
        <f t="shared" si="0"/>
        <v>0</v>
      </c>
      <c r="O19" s="124"/>
      <c r="P19" s="28"/>
      <c r="Q19" s="7">
        <f t="shared" si="1"/>
        <v>0</v>
      </c>
    </row>
    <row r="20" spans="1:18" x14ac:dyDescent="0.25">
      <c r="A20" s="67">
        <v>18</v>
      </c>
      <c r="B20" s="2" t="s">
        <v>490</v>
      </c>
      <c r="C20" s="6"/>
      <c r="D20" s="6"/>
      <c r="E20" s="6"/>
      <c r="F20" s="6"/>
      <c r="G20" s="6"/>
      <c r="H20" s="6"/>
      <c r="I20" s="100"/>
      <c r="J20" s="29"/>
      <c r="K20" s="29"/>
      <c r="L20" s="29"/>
      <c r="M20" s="29"/>
      <c r="N20" s="124">
        <f t="shared" si="0"/>
        <v>0</v>
      </c>
      <c r="O20" s="124"/>
      <c r="P20" s="28"/>
      <c r="Q20" s="7">
        <f t="shared" si="1"/>
        <v>0</v>
      </c>
    </row>
    <row r="21" spans="1:18" x14ac:dyDescent="0.25">
      <c r="A21" s="67">
        <v>19</v>
      </c>
      <c r="B21" s="2" t="s">
        <v>491</v>
      </c>
      <c r="C21" s="6"/>
      <c r="D21" s="6"/>
      <c r="E21" s="6"/>
      <c r="F21" s="6"/>
      <c r="G21" s="6"/>
      <c r="H21" s="6"/>
      <c r="I21" s="100"/>
      <c r="J21" s="29"/>
      <c r="K21" s="29"/>
      <c r="L21" s="29"/>
      <c r="M21" s="29"/>
      <c r="N21" s="124">
        <f t="shared" si="0"/>
        <v>0</v>
      </c>
      <c r="O21" s="124"/>
      <c r="P21" s="28"/>
      <c r="Q21" s="7">
        <f t="shared" si="1"/>
        <v>0</v>
      </c>
    </row>
    <row r="22" spans="1:18" x14ac:dyDescent="0.25">
      <c r="A22" s="67">
        <v>20</v>
      </c>
      <c r="B22" s="2" t="s">
        <v>477</v>
      </c>
      <c r="C22" s="6"/>
      <c r="D22" s="6"/>
      <c r="E22" s="6"/>
      <c r="F22" s="6"/>
      <c r="G22" s="6"/>
      <c r="H22" s="6"/>
      <c r="I22" s="100"/>
      <c r="J22" s="29"/>
      <c r="K22" s="29"/>
      <c r="L22" s="29"/>
      <c r="M22" s="29"/>
      <c r="N22" s="124">
        <f t="shared" si="0"/>
        <v>0</v>
      </c>
      <c r="O22" s="124"/>
      <c r="P22" s="28"/>
      <c r="Q22" s="7">
        <f t="shared" si="1"/>
        <v>0</v>
      </c>
    </row>
    <row r="23" spans="1:18" x14ac:dyDescent="0.25">
      <c r="A23" s="67">
        <v>21</v>
      </c>
      <c r="B23" s="2" t="s">
        <v>492</v>
      </c>
      <c r="C23" s="6"/>
      <c r="D23" s="6"/>
      <c r="E23" s="6"/>
      <c r="F23" s="6"/>
      <c r="G23" s="6"/>
      <c r="H23" s="6"/>
      <c r="I23" s="100">
        <f>100*0.6*1.1</f>
        <v>66</v>
      </c>
      <c r="J23" s="29"/>
      <c r="K23" s="29">
        <f>300*0.6*0.6</f>
        <v>108</v>
      </c>
      <c r="L23" s="29"/>
      <c r="M23" s="29"/>
      <c r="N23" s="124">
        <f t="shared" si="0"/>
        <v>174</v>
      </c>
      <c r="O23" s="124"/>
      <c r="P23" s="28"/>
      <c r="Q23" s="7">
        <f t="shared" si="1"/>
        <v>7.0071428571428571</v>
      </c>
    </row>
    <row r="24" spans="1:18" x14ac:dyDescent="0.25">
      <c r="A24" s="67">
        <v>22</v>
      </c>
      <c r="B24" s="2" t="s">
        <v>493</v>
      </c>
      <c r="C24" s="6"/>
      <c r="D24" s="6"/>
      <c r="E24" s="6"/>
      <c r="F24" s="6">
        <f>100*0.6*1.1</f>
        <v>66</v>
      </c>
      <c r="G24" s="6"/>
      <c r="H24" s="6"/>
      <c r="I24" s="100"/>
      <c r="J24" s="29"/>
      <c r="K24" s="29"/>
      <c r="L24" s="29"/>
      <c r="M24" s="29"/>
      <c r="N24" s="124">
        <f t="shared" si="0"/>
        <v>66</v>
      </c>
      <c r="O24" s="124"/>
      <c r="P24" s="28"/>
      <c r="Q24" s="7">
        <f t="shared" si="1"/>
        <v>4.95</v>
      </c>
    </row>
    <row r="25" spans="1:18" x14ac:dyDescent="0.25">
      <c r="A25" s="67">
        <v>23</v>
      </c>
      <c r="B25" s="2" t="s">
        <v>494</v>
      </c>
      <c r="C25" s="6"/>
      <c r="D25" s="6"/>
      <c r="E25" s="6"/>
      <c r="F25" s="6"/>
      <c r="G25" s="6"/>
      <c r="H25" s="6"/>
      <c r="I25" s="100"/>
      <c r="J25" s="29"/>
      <c r="K25" s="29"/>
      <c r="L25" s="29"/>
      <c r="M25" s="29"/>
      <c r="N25" s="124">
        <f t="shared" si="0"/>
        <v>0</v>
      </c>
      <c r="O25" s="124"/>
      <c r="P25" s="28"/>
      <c r="Q25" s="7">
        <f t="shared" si="1"/>
        <v>0</v>
      </c>
    </row>
    <row r="26" spans="1:18" x14ac:dyDescent="0.25">
      <c r="A26" s="67">
        <v>24</v>
      </c>
      <c r="B26" s="2" t="s">
        <v>476</v>
      </c>
      <c r="C26" s="6"/>
      <c r="D26" s="6"/>
      <c r="E26" s="6"/>
      <c r="F26" s="6"/>
      <c r="G26" s="6"/>
      <c r="H26" s="6"/>
      <c r="I26" s="100"/>
      <c r="J26" s="29"/>
      <c r="K26" s="29"/>
      <c r="L26" s="29"/>
      <c r="M26" s="29"/>
      <c r="N26" s="124">
        <f t="shared" si="0"/>
        <v>0</v>
      </c>
      <c r="O26" s="124"/>
      <c r="P26" s="28"/>
      <c r="Q26" s="7">
        <f t="shared" si="1"/>
        <v>0</v>
      </c>
    </row>
    <row r="27" spans="1:18" x14ac:dyDescent="0.25">
      <c r="A27" s="67">
        <v>25</v>
      </c>
      <c r="B27" s="2" t="s">
        <v>495</v>
      </c>
      <c r="C27" s="6"/>
      <c r="D27" s="6"/>
      <c r="E27" s="6"/>
      <c r="F27" s="6"/>
      <c r="G27" s="6"/>
      <c r="H27" s="6"/>
      <c r="I27" s="100">
        <f>100*0.5*0.9</f>
        <v>45</v>
      </c>
      <c r="J27" s="29"/>
      <c r="K27" s="29">
        <f>300*0.2*0.6</f>
        <v>36</v>
      </c>
      <c r="L27" s="29"/>
      <c r="M27" s="29"/>
      <c r="N27" s="124">
        <f t="shared" si="0"/>
        <v>81</v>
      </c>
      <c r="O27" s="124"/>
      <c r="P27" s="28"/>
      <c r="Q27" s="7">
        <f t="shared" si="1"/>
        <v>6.0107142857142861</v>
      </c>
    </row>
    <row r="28" spans="1:18" x14ac:dyDescent="0.25">
      <c r="A28" s="67">
        <v>26</v>
      </c>
      <c r="B28" s="2" t="s">
        <v>496</v>
      </c>
      <c r="C28" s="6"/>
      <c r="D28" s="6"/>
      <c r="E28" s="6"/>
      <c r="F28" s="6"/>
      <c r="G28" s="6"/>
      <c r="H28" s="6"/>
      <c r="I28" s="100"/>
      <c r="J28" s="29">
        <f>150*0.5*0.6</f>
        <v>45</v>
      </c>
      <c r="K28" s="29"/>
      <c r="L28" s="29"/>
      <c r="M28" s="29"/>
      <c r="N28" s="124">
        <f t="shared" si="0"/>
        <v>45</v>
      </c>
      <c r="O28" s="124"/>
      <c r="P28" s="28"/>
      <c r="Q28" s="7">
        <f t="shared" si="1"/>
        <v>3.375</v>
      </c>
    </row>
    <row r="29" spans="1:18" x14ac:dyDescent="0.25">
      <c r="A29" s="67">
        <v>27</v>
      </c>
      <c r="B29" s="2" t="s">
        <v>472</v>
      </c>
      <c r="C29" s="6"/>
      <c r="D29" s="6"/>
      <c r="E29" s="6">
        <f>60*1*1.1</f>
        <v>66</v>
      </c>
      <c r="F29" s="6"/>
      <c r="G29" s="6"/>
      <c r="H29" s="6"/>
      <c r="I29" s="100"/>
      <c r="J29" s="29"/>
      <c r="K29" s="29"/>
      <c r="L29" s="29"/>
      <c r="M29" s="29"/>
      <c r="N29" s="124">
        <f t="shared" si="0"/>
        <v>66</v>
      </c>
      <c r="O29" s="124"/>
      <c r="P29" s="28"/>
      <c r="Q29" s="7">
        <f t="shared" si="1"/>
        <v>4.95</v>
      </c>
    </row>
    <row r="30" spans="1:18" x14ac:dyDescent="0.25">
      <c r="A30" s="67">
        <v>28</v>
      </c>
      <c r="B30" s="2" t="s">
        <v>497</v>
      </c>
      <c r="C30" s="6"/>
      <c r="D30" s="6"/>
      <c r="E30" s="6"/>
      <c r="F30" s="6"/>
      <c r="G30" s="6"/>
      <c r="H30" s="6"/>
      <c r="I30" s="100">
        <f>100*(0.65*0.7+0.15*0.6)</f>
        <v>54.499999999999993</v>
      </c>
      <c r="J30" s="29">
        <f>150*0.6*0.6</f>
        <v>54</v>
      </c>
      <c r="K30" s="29"/>
      <c r="L30" s="29"/>
      <c r="M30" s="29"/>
      <c r="N30" s="124">
        <f t="shared" si="0"/>
        <v>108.5</v>
      </c>
      <c r="O30" s="124"/>
      <c r="P30" s="28"/>
      <c r="Q30" s="7">
        <f t="shared" si="1"/>
        <v>6.3053571428571429</v>
      </c>
    </row>
    <row r="31" spans="1:18" x14ac:dyDescent="0.25">
      <c r="A31" s="67">
        <v>29</v>
      </c>
      <c r="B31" s="124"/>
      <c r="C31" s="6"/>
      <c r="D31" s="6"/>
      <c r="E31" s="6"/>
      <c r="F31" s="6"/>
      <c r="G31" s="6"/>
      <c r="H31" s="6"/>
      <c r="I31" s="100"/>
      <c r="J31" s="29"/>
      <c r="K31" s="29"/>
      <c r="L31" s="29"/>
      <c r="M31" s="29"/>
      <c r="N31" s="124">
        <f t="shared" si="0"/>
        <v>0</v>
      </c>
      <c r="O31" s="124"/>
      <c r="P31" s="28"/>
      <c r="Q31" s="7">
        <f t="shared" si="1"/>
        <v>0</v>
      </c>
    </row>
    <row r="32" spans="1:18" x14ac:dyDescent="0.25">
      <c r="A32" s="67">
        <v>30</v>
      </c>
      <c r="B32" s="124"/>
      <c r="C32" s="6"/>
      <c r="D32" s="6"/>
      <c r="E32" s="6"/>
      <c r="F32" s="6"/>
      <c r="G32" s="6"/>
      <c r="H32" s="6"/>
      <c r="I32" s="100"/>
      <c r="J32" s="29"/>
      <c r="K32" s="29"/>
      <c r="L32" s="29"/>
      <c r="M32" s="29"/>
      <c r="N32" s="124">
        <f t="shared" si="0"/>
        <v>0</v>
      </c>
      <c r="O32" s="124"/>
      <c r="P32" s="28"/>
      <c r="Q32" s="7">
        <f t="shared" si="1"/>
        <v>0</v>
      </c>
    </row>
    <row r="33" spans="1:17" x14ac:dyDescent="0.25">
      <c r="A33" s="67"/>
      <c r="B33" s="65" t="s">
        <v>124</v>
      </c>
      <c r="C33" s="65" t="s">
        <v>73</v>
      </c>
      <c r="D33" s="65" t="s">
        <v>74</v>
      </c>
      <c r="E33" s="65" t="s">
        <v>183</v>
      </c>
      <c r="F33" s="65" t="s">
        <v>184</v>
      </c>
      <c r="G33" s="65" t="s">
        <v>361</v>
      </c>
      <c r="H33" s="65" t="s">
        <v>362</v>
      </c>
      <c r="I33" s="65" t="s">
        <v>363</v>
      </c>
      <c r="J33" s="65" t="s">
        <v>364</v>
      </c>
      <c r="K33" s="65" t="s">
        <v>365</v>
      </c>
      <c r="L33" s="65" t="s">
        <v>341</v>
      </c>
      <c r="M33" s="65" t="s">
        <v>344</v>
      </c>
      <c r="N33" s="10" t="s">
        <v>0</v>
      </c>
      <c r="O33" s="10" t="s">
        <v>1</v>
      </c>
      <c r="P33" s="10" t="s">
        <v>47</v>
      </c>
      <c r="Q33" s="10" t="s">
        <v>12</v>
      </c>
    </row>
    <row r="34" spans="1:17" x14ac:dyDescent="0.25">
      <c r="A34" s="67">
        <v>1</v>
      </c>
      <c r="B34" s="2" t="s">
        <v>422</v>
      </c>
      <c r="C34" s="6"/>
      <c r="D34" s="6"/>
      <c r="E34" s="6"/>
      <c r="F34" s="6"/>
      <c r="G34" s="6"/>
      <c r="H34" s="6"/>
      <c r="I34" s="100"/>
      <c r="J34" s="29"/>
      <c r="K34" s="29"/>
      <c r="L34" s="29"/>
      <c r="M34" s="29"/>
      <c r="N34" s="3">
        <f>SUM(C34:M34)</f>
        <v>0</v>
      </c>
      <c r="O34" s="3"/>
      <c r="P34" s="28"/>
      <c r="Q34" s="7">
        <f>NormalizeResult($C$71,$D$71,$C$70,$D$70,$C$69,$D$69,N34)+O34+IF(P34&gt;$P$64,P34*$P$65,0)</f>
        <v>0</v>
      </c>
    </row>
    <row r="35" spans="1:17" x14ac:dyDescent="0.25">
      <c r="A35" s="67">
        <v>2</v>
      </c>
      <c r="B35" s="2" t="s">
        <v>423</v>
      </c>
      <c r="C35" s="6"/>
      <c r="D35" s="6"/>
      <c r="E35" s="6"/>
      <c r="F35" s="6"/>
      <c r="G35" s="6"/>
      <c r="H35" s="6"/>
      <c r="I35" s="100"/>
      <c r="J35" s="29"/>
      <c r="K35" s="29"/>
      <c r="L35" s="29"/>
      <c r="M35" s="29"/>
      <c r="N35" s="124">
        <f t="shared" ref="N35:N63" si="2">SUM(C35:M35)</f>
        <v>0</v>
      </c>
      <c r="O35" s="124"/>
      <c r="P35" s="28"/>
      <c r="Q35" s="7">
        <f t="shared" ref="Q35:Q63" si="3">NormalizeResult($C$71,$D$71,$C$70,$D$70,$C$69,$D$69,N35)+O35+IF(P35&gt;$P$64,P35*$P$65,0)</f>
        <v>0</v>
      </c>
    </row>
    <row r="36" spans="1:17" x14ac:dyDescent="0.25">
      <c r="A36" s="67">
        <v>3</v>
      </c>
      <c r="B36" s="2" t="s">
        <v>424</v>
      </c>
      <c r="C36" s="6"/>
      <c r="D36" s="6"/>
      <c r="E36" s="6"/>
      <c r="F36" s="6"/>
      <c r="G36" s="6"/>
      <c r="H36" s="6"/>
      <c r="I36" s="100"/>
      <c r="J36" s="29"/>
      <c r="K36" s="29"/>
      <c r="L36" s="29"/>
      <c r="M36" s="29"/>
      <c r="N36" s="124">
        <f t="shared" si="2"/>
        <v>0</v>
      </c>
      <c r="O36" s="124"/>
      <c r="P36" s="28"/>
      <c r="Q36" s="7">
        <f t="shared" si="3"/>
        <v>0</v>
      </c>
    </row>
    <row r="37" spans="1:17" x14ac:dyDescent="0.25">
      <c r="A37" s="67">
        <v>4</v>
      </c>
      <c r="B37" s="2" t="s">
        <v>425</v>
      </c>
      <c r="C37" s="6"/>
      <c r="D37" s="6"/>
      <c r="E37" s="6"/>
      <c r="F37" s="6"/>
      <c r="G37" s="6"/>
      <c r="H37" s="6"/>
      <c r="I37" s="100"/>
      <c r="J37" s="29"/>
      <c r="K37" s="29"/>
      <c r="L37" s="29"/>
      <c r="M37" s="29"/>
      <c r="N37" s="124">
        <f t="shared" si="2"/>
        <v>0</v>
      </c>
      <c r="O37" s="124"/>
      <c r="P37" s="28"/>
      <c r="Q37" s="7">
        <f t="shared" si="3"/>
        <v>0</v>
      </c>
    </row>
    <row r="38" spans="1:17" x14ac:dyDescent="0.25">
      <c r="A38" s="67">
        <v>5</v>
      </c>
      <c r="B38" s="2" t="s">
        <v>426</v>
      </c>
      <c r="C38" s="6"/>
      <c r="D38" s="6"/>
      <c r="E38" s="6"/>
      <c r="F38" s="6"/>
      <c r="G38" s="6"/>
      <c r="H38" s="6"/>
      <c r="I38" s="100"/>
      <c r="J38" s="29"/>
      <c r="K38" s="29"/>
      <c r="L38" s="29"/>
      <c r="M38" s="29"/>
      <c r="N38" s="124">
        <f t="shared" si="2"/>
        <v>0</v>
      </c>
      <c r="O38" s="124"/>
      <c r="P38" s="28"/>
      <c r="Q38" s="7">
        <f t="shared" si="3"/>
        <v>0</v>
      </c>
    </row>
    <row r="39" spans="1:17" x14ac:dyDescent="0.25">
      <c r="A39" s="67">
        <v>6</v>
      </c>
      <c r="B39" s="2" t="s">
        <v>427</v>
      </c>
      <c r="C39" s="6"/>
      <c r="D39" s="6"/>
      <c r="E39" s="6"/>
      <c r="F39" s="6"/>
      <c r="G39" s="6"/>
      <c r="H39" s="6"/>
      <c r="I39" s="100">
        <f>100*(0.7*0.7+0.3*0.6)</f>
        <v>67</v>
      </c>
      <c r="J39" s="29"/>
      <c r="K39" s="29"/>
      <c r="L39" s="29"/>
      <c r="M39" s="29"/>
      <c r="N39" s="124">
        <f t="shared" si="2"/>
        <v>67</v>
      </c>
      <c r="O39" s="124"/>
      <c r="P39" s="28"/>
      <c r="Q39" s="7">
        <f t="shared" si="3"/>
        <v>5.0250000000000004</v>
      </c>
    </row>
    <row r="40" spans="1:17" x14ac:dyDescent="0.25">
      <c r="A40" s="67">
        <v>7</v>
      </c>
      <c r="B40" s="2" t="s">
        <v>428</v>
      </c>
      <c r="C40" s="6"/>
      <c r="D40" s="6"/>
      <c r="E40" s="6"/>
      <c r="F40" s="6">
        <f>100*1*1.1</f>
        <v>110.00000000000001</v>
      </c>
      <c r="G40" s="6"/>
      <c r="H40" s="6"/>
      <c r="I40" s="100"/>
      <c r="J40" s="29"/>
      <c r="K40" s="29"/>
      <c r="L40" s="29"/>
      <c r="M40" s="29"/>
      <c r="N40" s="124">
        <f t="shared" si="2"/>
        <v>110.00000000000001</v>
      </c>
      <c r="O40" s="124"/>
      <c r="P40" s="28"/>
      <c r="Q40" s="7">
        <f t="shared" si="3"/>
        <v>6.3214285714285712</v>
      </c>
    </row>
    <row r="41" spans="1:17" x14ac:dyDescent="0.25">
      <c r="A41" s="67">
        <v>8</v>
      </c>
      <c r="B41" s="2" t="s">
        <v>429</v>
      </c>
      <c r="C41" s="6"/>
      <c r="D41" s="6"/>
      <c r="E41" s="6"/>
      <c r="F41" s="6"/>
      <c r="G41" s="6"/>
      <c r="H41" s="6"/>
      <c r="I41" s="100"/>
      <c r="J41" s="29"/>
      <c r="K41" s="29"/>
      <c r="L41" s="29"/>
      <c r="M41" s="29"/>
      <c r="N41" s="124">
        <f t="shared" si="2"/>
        <v>0</v>
      </c>
      <c r="O41" s="124"/>
      <c r="P41" s="28"/>
      <c r="Q41" s="7">
        <f t="shared" si="3"/>
        <v>0</v>
      </c>
    </row>
    <row r="42" spans="1:17" x14ac:dyDescent="0.25">
      <c r="A42" s="67">
        <v>9</v>
      </c>
      <c r="B42" s="2" t="s">
        <v>430</v>
      </c>
      <c r="C42" s="6"/>
      <c r="D42" s="6"/>
      <c r="E42" s="6"/>
      <c r="F42" s="6"/>
      <c r="G42" s="6"/>
      <c r="H42" s="6"/>
      <c r="I42" s="100"/>
      <c r="J42" s="29"/>
      <c r="K42" s="29"/>
      <c r="L42" s="29"/>
      <c r="M42" s="29"/>
      <c r="N42" s="124">
        <f t="shared" si="2"/>
        <v>0</v>
      </c>
      <c r="O42" s="124"/>
      <c r="P42" s="28"/>
      <c r="Q42" s="7">
        <f t="shared" si="3"/>
        <v>0</v>
      </c>
    </row>
    <row r="43" spans="1:17" x14ac:dyDescent="0.25">
      <c r="A43" s="67">
        <v>10</v>
      </c>
      <c r="B43" s="2" t="s">
        <v>431</v>
      </c>
      <c r="C43" s="6"/>
      <c r="D43" s="6"/>
      <c r="E43" s="6"/>
      <c r="F43" s="6">
        <f>100*0.7*1.1</f>
        <v>77</v>
      </c>
      <c r="G43" s="6"/>
      <c r="H43" s="6"/>
      <c r="I43" s="100"/>
      <c r="J43" s="29"/>
      <c r="K43" s="29"/>
      <c r="L43" s="29"/>
      <c r="M43" s="29"/>
      <c r="N43" s="124">
        <f t="shared" si="2"/>
        <v>77</v>
      </c>
      <c r="O43" s="124"/>
      <c r="P43" s="28"/>
      <c r="Q43" s="7">
        <f t="shared" si="3"/>
        <v>5.7750000000000004</v>
      </c>
    </row>
    <row r="44" spans="1:17" x14ac:dyDescent="0.25">
      <c r="A44" s="67">
        <v>11</v>
      </c>
      <c r="B44" s="2" t="s">
        <v>432</v>
      </c>
      <c r="C44" s="6"/>
      <c r="D44" s="6"/>
      <c r="E44" s="6"/>
      <c r="F44" s="6"/>
      <c r="G44" s="6"/>
      <c r="H44" s="6"/>
      <c r="I44" s="100"/>
      <c r="J44" s="29"/>
      <c r="K44" s="29"/>
      <c r="L44" s="29"/>
      <c r="M44" s="29"/>
      <c r="N44" s="124">
        <f t="shared" si="2"/>
        <v>0</v>
      </c>
      <c r="O44" s="124"/>
      <c r="P44" s="28"/>
      <c r="Q44" s="7">
        <f t="shared" si="3"/>
        <v>0</v>
      </c>
    </row>
    <row r="45" spans="1:17" x14ac:dyDescent="0.25">
      <c r="A45" s="67">
        <v>12</v>
      </c>
      <c r="B45" s="2" t="s">
        <v>433</v>
      </c>
      <c r="C45" s="6"/>
      <c r="D45" s="6"/>
      <c r="E45" s="6"/>
      <c r="F45" s="6"/>
      <c r="G45" s="6"/>
      <c r="H45" s="6"/>
      <c r="I45" s="100"/>
      <c r="J45" s="29"/>
      <c r="K45" s="29"/>
      <c r="L45" s="29"/>
      <c r="M45" s="29"/>
      <c r="N45" s="124">
        <f t="shared" si="2"/>
        <v>0</v>
      </c>
      <c r="O45" s="124"/>
      <c r="P45" s="28"/>
      <c r="Q45" s="7">
        <f t="shared" si="3"/>
        <v>0</v>
      </c>
    </row>
    <row r="46" spans="1:17" x14ac:dyDescent="0.25">
      <c r="A46" s="67">
        <v>13</v>
      </c>
      <c r="B46" s="2" t="s">
        <v>434</v>
      </c>
      <c r="C46" s="6"/>
      <c r="D46" s="6"/>
      <c r="E46" s="6"/>
      <c r="F46" s="6"/>
      <c r="G46" s="6"/>
      <c r="H46" s="6"/>
      <c r="I46" s="100"/>
      <c r="J46" s="29"/>
      <c r="K46" s="29"/>
      <c r="L46" s="29"/>
      <c r="M46" s="29"/>
      <c r="N46" s="124">
        <f t="shared" si="2"/>
        <v>0</v>
      </c>
      <c r="O46" s="124"/>
      <c r="P46" s="28"/>
      <c r="Q46" s="7">
        <f t="shared" si="3"/>
        <v>0</v>
      </c>
    </row>
    <row r="47" spans="1:17" x14ac:dyDescent="0.25">
      <c r="A47" s="67">
        <v>14</v>
      </c>
      <c r="B47" s="2" t="s">
        <v>435</v>
      </c>
      <c r="C47" s="6"/>
      <c r="D47" s="6"/>
      <c r="E47" s="6"/>
      <c r="F47" s="6"/>
      <c r="G47" s="6"/>
      <c r="H47" s="6"/>
      <c r="I47" s="100"/>
      <c r="J47" s="29"/>
      <c r="K47" s="29"/>
      <c r="L47" s="29"/>
      <c r="M47" s="29"/>
      <c r="N47" s="124">
        <f t="shared" si="2"/>
        <v>0</v>
      </c>
      <c r="O47" s="124"/>
      <c r="P47" s="28"/>
      <c r="Q47" s="7">
        <f t="shared" si="3"/>
        <v>0</v>
      </c>
    </row>
    <row r="48" spans="1:17" x14ac:dyDescent="0.25">
      <c r="A48" s="67">
        <v>15</v>
      </c>
      <c r="B48" s="2" t="s">
        <v>436</v>
      </c>
      <c r="C48" s="6"/>
      <c r="D48" s="6"/>
      <c r="E48" s="6"/>
      <c r="F48" s="6"/>
      <c r="G48" s="6"/>
      <c r="H48" s="6"/>
      <c r="I48" s="100">
        <f>100*1*0.9</f>
        <v>90</v>
      </c>
      <c r="J48" s="29">
        <f>150*0.7*0.6</f>
        <v>63</v>
      </c>
      <c r="K48" s="29"/>
      <c r="L48" s="29"/>
      <c r="M48" s="29"/>
      <c r="N48" s="124">
        <f t="shared" si="2"/>
        <v>153</v>
      </c>
      <c r="O48" s="124"/>
      <c r="P48" s="28"/>
      <c r="Q48" s="7">
        <f t="shared" si="3"/>
        <v>6.7821428571428575</v>
      </c>
    </row>
    <row r="49" spans="1:17" x14ac:dyDescent="0.25">
      <c r="A49" s="67">
        <v>16</v>
      </c>
      <c r="B49" s="2" t="s">
        <v>437</v>
      </c>
      <c r="C49" s="6"/>
      <c r="D49" s="6"/>
      <c r="E49" s="6"/>
      <c r="F49" s="6"/>
      <c r="G49" s="6"/>
      <c r="H49" s="6"/>
      <c r="I49" s="100"/>
      <c r="J49" s="29"/>
      <c r="K49" s="29"/>
      <c r="L49" s="29"/>
      <c r="M49" s="29"/>
      <c r="N49" s="124">
        <f t="shared" si="2"/>
        <v>0</v>
      </c>
      <c r="O49" s="124"/>
      <c r="P49" s="28"/>
      <c r="Q49" s="7">
        <f t="shared" si="3"/>
        <v>0</v>
      </c>
    </row>
    <row r="50" spans="1:17" x14ac:dyDescent="0.25">
      <c r="A50" s="67">
        <v>17</v>
      </c>
      <c r="B50" s="2" t="s">
        <v>438</v>
      </c>
      <c r="C50" s="6"/>
      <c r="D50" s="6"/>
      <c r="E50" s="6"/>
      <c r="F50" s="6">
        <f>100*1*0.6</f>
        <v>60</v>
      </c>
      <c r="G50" s="6"/>
      <c r="H50" s="6"/>
      <c r="I50" s="100"/>
      <c r="J50" s="29"/>
      <c r="K50" s="29"/>
      <c r="L50" s="29"/>
      <c r="M50" s="29"/>
      <c r="N50" s="124">
        <f t="shared" si="2"/>
        <v>60</v>
      </c>
      <c r="O50" s="124"/>
      <c r="P50" s="28"/>
      <c r="Q50" s="7">
        <f t="shared" si="3"/>
        <v>4.5</v>
      </c>
    </row>
    <row r="51" spans="1:17" x14ac:dyDescent="0.25">
      <c r="A51" s="67">
        <v>18</v>
      </c>
      <c r="B51" s="2" t="s">
        <v>439</v>
      </c>
      <c r="C51" s="6"/>
      <c r="D51" s="6"/>
      <c r="E51" s="6"/>
      <c r="F51" s="6"/>
      <c r="G51" s="6"/>
      <c r="H51" s="6"/>
      <c r="I51" s="100"/>
      <c r="J51" s="29"/>
      <c r="K51" s="29"/>
      <c r="L51" s="29"/>
      <c r="M51" s="29"/>
      <c r="N51" s="124">
        <f t="shared" si="2"/>
        <v>0</v>
      </c>
      <c r="O51" s="124"/>
      <c r="P51" s="28"/>
      <c r="Q51" s="7">
        <f t="shared" si="3"/>
        <v>0</v>
      </c>
    </row>
    <row r="52" spans="1:17" x14ac:dyDescent="0.25">
      <c r="A52" s="67">
        <v>19</v>
      </c>
      <c r="B52" s="2" t="s">
        <v>440</v>
      </c>
      <c r="C52" s="6"/>
      <c r="D52" s="6"/>
      <c r="E52" s="6"/>
      <c r="F52" s="6"/>
      <c r="G52" s="6"/>
      <c r="H52" s="6"/>
      <c r="I52" s="100"/>
      <c r="J52" s="29"/>
      <c r="K52" s="29"/>
      <c r="L52" s="29"/>
      <c r="M52" s="29"/>
      <c r="N52" s="124">
        <f t="shared" si="2"/>
        <v>0</v>
      </c>
      <c r="O52" s="124"/>
      <c r="P52" s="28"/>
      <c r="Q52" s="7">
        <f t="shared" si="3"/>
        <v>0</v>
      </c>
    </row>
    <row r="53" spans="1:17" x14ac:dyDescent="0.25">
      <c r="A53" s="67">
        <v>20</v>
      </c>
      <c r="B53" s="2" t="s">
        <v>441</v>
      </c>
      <c r="C53" s="6"/>
      <c r="D53" s="6"/>
      <c r="E53" s="6"/>
      <c r="F53" s="6"/>
      <c r="G53" s="6"/>
      <c r="H53" s="6"/>
      <c r="I53" s="100"/>
      <c r="J53" s="29"/>
      <c r="K53" s="29"/>
      <c r="L53" s="29"/>
      <c r="M53" s="29"/>
      <c r="N53" s="124">
        <f t="shared" si="2"/>
        <v>0</v>
      </c>
      <c r="O53" s="124"/>
      <c r="P53" s="28"/>
      <c r="Q53" s="7">
        <f t="shared" si="3"/>
        <v>0</v>
      </c>
    </row>
    <row r="54" spans="1:17" x14ac:dyDescent="0.25">
      <c r="A54" s="67">
        <v>21</v>
      </c>
      <c r="B54" s="2" t="s">
        <v>442</v>
      </c>
      <c r="C54" s="6"/>
      <c r="D54" s="6"/>
      <c r="E54" s="6"/>
      <c r="F54" s="6"/>
      <c r="G54" s="6"/>
      <c r="H54" s="6"/>
      <c r="I54" s="100"/>
      <c r="J54" s="29"/>
      <c r="K54" s="29"/>
      <c r="L54" s="29"/>
      <c r="M54" s="29"/>
      <c r="N54" s="124">
        <f t="shared" si="2"/>
        <v>0</v>
      </c>
      <c r="O54" s="124"/>
      <c r="P54" s="28"/>
      <c r="Q54" s="7">
        <f t="shared" si="3"/>
        <v>0</v>
      </c>
    </row>
    <row r="55" spans="1:17" x14ac:dyDescent="0.25">
      <c r="A55" s="67">
        <v>22</v>
      </c>
      <c r="B55" s="2" t="s">
        <v>443</v>
      </c>
      <c r="C55" s="6"/>
      <c r="D55" s="6"/>
      <c r="E55" s="6"/>
      <c r="F55" s="6"/>
      <c r="G55" s="6"/>
      <c r="H55" s="6"/>
      <c r="I55" s="100">
        <f>100*(0.5*1.1+0.45*1)</f>
        <v>100</v>
      </c>
      <c r="J55" s="29"/>
      <c r="K55" s="29"/>
      <c r="L55" s="29"/>
      <c r="M55" s="29"/>
      <c r="N55" s="124">
        <f t="shared" si="2"/>
        <v>100</v>
      </c>
      <c r="O55" s="124"/>
      <c r="P55" s="28"/>
      <c r="Q55" s="7">
        <f t="shared" si="3"/>
        <v>6.2142857142857144</v>
      </c>
    </row>
    <row r="56" spans="1:17" x14ac:dyDescent="0.25">
      <c r="A56" s="67">
        <v>23</v>
      </c>
      <c r="B56" s="2" t="s">
        <v>444</v>
      </c>
      <c r="C56" s="6"/>
      <c r="D56" s="6"/>
      <c r="E56" s="6"/>
      <c r="F56" s="6"/>
      <c r="G56" s="6"/>
      <c r="H56" s="6"/>
      <c r="I56" s="100"/>
      <c r="J56" s="29"/>
      <c r="K56" s="29"/>
      <c r="L56" s="29"/>
      <c r="M56" s="29"/>
      <c r="N56" s="124">
        <f t="shared" si="2"/>
        <v>0</v>
      </c>
      <c r="O56" s="124"/>
      <c r="P56" s="28"/>
      <c r="Q56" s="7">
        <f t="shared" si="3"/>
        <v>0</v>
      </c>
    </row>
    <row r="57" spans="1:17" x14ac:dyDescent="0.25">
      <c r="A57" s="67">
        <v>24</v>
      </c>
      <c r="B57" s="2" t="s">
        <v>445</v>
      </c>
      <c r="C57" s="6"/>
      <c r="D57" s="6"/>
      <c r="E57" s="6"/>
      <c r="F57" s="6"/>
      <c r="G57" s="6"/>
      <c r="H57" s="6"/>
      <c r="I57" s="100"/>
      <c r="J57" s="29"/>
      <c r="K57" s="29"/>
      <c r="L57" s="29"/>
      <c r="M57" s="29"/>
      <c r="N57" s="124">
        <f t="shared" si="2"/>
        <v>0</v>
      </c>
      <c r="O57" s="124"/>
      <c r="P57" s="28"/>
      <c r="Q57" s="7">
        <f t="shared" si="3"/>
        <v>0</v>
      </c>
    </row>
    <row r="58" spans="1:17" x14ac:dyDescent="0.25">
      <c r="A58" s="67">
        <v>25</v>
      </c>
      <c r="B58" s="2" t="s">
        <v>446</v>
      </c>
      <c r="C58" s="6"/>
      <c r="D58" s="6"/>
      <c r="E58" s="6"/>
      <c r="F58" s="6"/>
      <c r="G58" s="6"/>
      <c r="H58" s="6"/>
      <c r="I58" s="100"/>
      <c r="J58" s="29"/>
      <c r="K58" s="29"/>
      <c r="L58" s="29"/>
      <c r="M58" s="29"/>
      <c r="N58" s="124">
        <f t="shared" si="2"/>
        <v>0</v>
      </c>
      <c r="O58" s="124"/>
      <c r="P58" s="28"/>
      <c r="Q58" s="7">
        <f t="shared" si="3"/>
        <v>0</v>
      </c>
    </row>
    <row r="59" spans="1:17" x14ac:dyDescent="0.25">
      <c r="A59" s="67">
        <v>26</v>
      </c>
      <c r="B59" s="2" t="s">
        <v>447</v>
      </c>
      <c r="C59" s="6"/>
      <c r="D59" s="6"/>
      <c r="E59" s="6"/>
      <c r="F59" s="6"/>
      <c r="G59" s="6"/>
      <c r="H59" s="6"/>
      <c r="I59" s="100"/>
      <c r="J59" s="29"/>
      <c r="K59" s="29"/>
      <c r="L59" s="29"/>
      <c r="M59" s="29"/>
      <c r="N59" s="124">
        <f t="shared" si="2"/>
        <v>0</v>
      </c>
      <c r="O59" s="124"/>
      <c r="P59" s="28"/>
      <c r="Q59" s="7">
        <f t="shared" si="3"/>
        <v>0</v>
      </c>
    </row>
    <row r="60" spans="1:17" x14ac:dyDescent="0.25">
      <c r="A60" s="67">
        <v>27</v>
      </c>
      <c r="B60" s="2" t="s">
        <v>448</v>
      </c>
      <c r="C60" s="6"/>
      <c r="D60" s="6"/>
      <c r="E60" s="6"/>
      <c r="F60" s="6"/>
      <c r="G60" s="6"/>
      <c r="H60" s="6"/>
      <c r="I60" s="100">
        <f>100*1*0.6</f>
        <v>60</v>
      </c>
      <c r="J60" s="29"/>
      <c r="K60" s="29"/>
      <c r="L60" s="29"/>
      <c r="M60" s="29"/>
      <c r="N60" s="124">
        <f t="shared" si="2"/>
        <v>60</v>
      </c>
      <c r="O60" s="124"/>
      <c r="P60" s="28"/>
      <c r="Q60" s="7">
        <f t="shared" si="3"/>
        <v>4.5</v>
      </c>
    </row>
    <row r="61" spans="1:17" x14ac:dyDescent="0.25">
      <c r="A61" s="67">
        <v>28</v>
      </c>
      <c r="B61" s="124" t="s">
        <v>553</v>
      </c>
      <c r="C61" s="6"/>
      <c r="D61" s="6"/>
      <c r="E61" s="6"/>
      <c r="F61" s="6"/>
      <c r="G61" s="6"/>
      <c r="H61" s="6"/>
      <c r="I61" s="100"/>
      <c r="J61" s="29"/>
      <c r="K61" s="29"/>
      <c r="L61" s="29"/>
      <c r="M61" s="29"/>
      <c r="N61" s="124">
        <f t="shared" si="2"/>
        <v>0</v>
      </c>
      <c r="O61" s="124"/>
      <c r="P61" s="28"/>
      <c r="Q61" s="7">
        <f t="shared" si="3"/>
        <v>0</v>
      </c>
    </row>
    <row r="62" spans="1:17" x14ac:dyDescent="0.25">
      <c r="A62" s="67">
        <v>29</v>
      </c>
      <c r="B62" s="124"/>
      <c r="C62" s="6"/>
      <c r="D62" s="6"/>
      <c r="E62" s="6"/>
      <c r="F62" s="6"/>
      <c r="G62" s="6"/>
      <c r="H62" s="6"/>
      <c r="I62" s="100"/>
      <c r="J62" s="29"/>
      <c r="K62" s="29"/>
      <c r="L62" s="29"/>
      <c r="M62" s="29"/>
      <c r="N62" s="124">
        <f t="shared" si="2"/>
        <v>0</v>
      </c>
      <c r="O62" s="124"/>
      <c r="P62" s="28"/>
      <c r="Q62" s="7">
        <f t="shared" si="3"/>
        <v>0</v>
      </c>
    </row>
    <row r="63" spans="1:17" x14ac:dyDescent="0.25">
      <c r="A63" s="67">
        <v>30</v>
      </c>
      <c r="B63" s="124"/>
      <c r="C63" s="6"/>
      <c r="D63" s="6"/>
      <c r="E63" s="6"/>
      <c r="F63" s="6"/>
      <c r="G63" s="6"/>
      <c r="H63" s="6"/>
      <c r="I63" s="100"/>
      <c r="J63" s="29"/>
      <c r="K63" s="29"/>
      <c r="L63" s="29"/>
      <c r="M63" s="29"/>
      <c r="N63" s="124">
        <f t="shared" si="2"/>
        <v>0</v>
      </c>
      <c r="O63" s="124"/>
      <c r="P63" s="28"/>
      <c r="Q63" s="7">
        <f t="shared" si="3"/>
        <v>0</v>
      </c>
    </row>
    <row r="64" spans="1:17" x14ac:dyDescent="0.25">
      <c r="B64" s="1" t="s">
        <v>18</v>
      </c>
      <c r="C64">
        <v>30</v>
      </c>
      <c r="D64">
        <v>30</v>
      </c>
      <c r="E64">
        <v>60</v>
      </c>
      <c r="F64">
        <v>100</v>
      </c>
      <c r="G64">
        <v>20</v>
      </c>
      <c r="H64">
        <v>50</v>
      </c>
      <c r="I64">
        <v>100</v>
      </c>
      <c r="J64">
        <v>150</v>
      </c>
      <c r="K64">
        <v>300</v>
      </c>
      <c r="P64" s="22">
        <v>0.6</v>
      </c>
    </row>
    <row r="65" spans="2:16" x14ac:dyDescent="0.25">
      <c r="O65" t="s">
        <v>48</v>
      </c>
      <c r="P65" s="27">
        <v>0.2</v>
      </c>
    </row>
    <row r="68" spans="2:16" x14ac:dyDescent="0.25">
      <c r="C68" t="s">
        <v>16</v>
      </c>
      <c r="D68" t="s">
        <v>17</v>
      </c>
    </row>
    <row r="69" spans="2:16" x14ac:dyDescent="0.25">
      <c r="B69" t="s">
        <v>13</v>
      </c>
      <c r="C69">
        <v>350</v>
      </c>
      <c r="D69">
        <f>D71*1.5</f>
        <v>9</v>
      </c>
    </row>
    <row r="70" spans="2:16" x14ac:dyDescent="0.25">
      <c r="B70" t="s">
        <v>14</v>
      </c>
      <c r="C70">
        <v>220</v>
      </c>
      <c r="D70">
        <f>(D69-D71)*0.5+D71</f>
        <v>7.5</v>
      </c>
    </row>
    <row r="71" spans="2:16" x14ac:dyDescent="0.25">
      <c r="B71" t="s">
        <v>15</v>
      </c>
      <c r="C71">
        <v>80</v>
      </c>
      <c r="D71">
        <v>6</v>
      </c>
    </row>
    <row r="74" spans="2:16" x14ac:dyDescent="0.25">
      <c r="B74" s="133" t="s">
        <v>157</v>
      </c>
    </row>
    <row r="76" spans="2:16" ht="15.75" x14ac:dyDescent="0.3">
      <c r="B76" s="134" t="s">
        <v>157</v>
      </c>
    </row>
    <row r="77" spans="2:16" ht="15.75" x14ac:dyDescent="0.3">
      <c r="B77" s="134" t="s">
        <v>159</v>
      </c>
    </row>
    <row r="78" spans="2:16" ht="15.75" x14ac:dyDescent="0.3">
      <c r="B78" s="134" t="s">
        <v>566</v>
      </c>
    </row>
    <row r="79" spans="2:16" ht="15.75" x14ac:dyDescent="0.3">
      <c r="B79" s="134" t="s">
        <v>567</v>
      </c>
    </row>
    <row r="80" spans="2:16" ht="15.75" x14ac:dyDescent="0.3">
      <c r="B80" s="134" t="s">
        <v>568</v>
      </c>
    </row>
    <row r="81" spans="2:2" ht="15.75" x14ac:dyDescent="0.3">
      <c r="B81" s="134" t="s">
        <v>569</v>
      </c>
    </row>
    <row r="82" spans="2:2" ht="15.75" x14ac:dyDescent="0.3">
      <c r="B82" s="134" t="s">
        <v>570</v>
      </c>
    </row>
    <row r="83" spans="2:2" ht="15.75" x14ac:dyDescent="0.3">
      <c r="B83" s="134" t="s">
        <v>571</v>
      </c>
    </row>
    <row r="85" spans="2:2" ht="15.75" x14ac:dyDescent="0.3">
      <c r="B85" s="134" t="s">
        <v>154</v>
      </c>
    </row>
    <row r="86" spans="2:2" ht="15.75" x14ac:dyDescent="0.3">
      <c r="B86" s="134" t="s">
        <v>572</v>
      </c>
    </row>
    <row r="87" spans="2:2" ht="15.75" x14ac:dyDescent="0.3">
      <c r="B87" s="134" t="s">
        <v>573</v>
      </c>
    </row>
    <row r="88" spans="2:2" ht="15.75" x14ac:dyDescent="0.3">
      <c r="B88" s="134" t="s">
        <v>574</v>
      </c>
    </row>
    <row r="89" spans="2:2" ht="15.75" x14ac:dyDescent="0.3">
      <c r="B89" s="134" t="s">
        <v>575</v>
      </c>
    </row>
    <row r="90" spans="2:2" ht="15.75" x14ac:dyDescent="0.3">
      <c r="B90" s="134" t="s">
        <v>576</v>
      </c>
    </row>
    <row r="91" spans="2:2" ht="15.75" x14ac:dyDescent="0.3">
      <c r="B91" s="134" t="s">
        <v>577</v>
      </c>
    </row>
    <row r="92" spans="2:2" x14ac:dyDescent="0.25">
      <c r="B92" s="120"/>
    </row>
    <row r="93" spans="2:2" x14ac:dyDescent="0.25">
      <c r="B93" s="120"/>
    </row>
  </sheetData>
  <conditionalFormatting sqref="Q34:Q63 Q3:Q32">
    <cfRule type="colorScale" priority="1">
      <colorScale>
        <cfvo type="num" val="0"/>
        <cfvo type="num" val="$D$71"/>
        <cfvo type="num" val="$D$69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horizontalDpi="180" verticalDpi="18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88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25" sqref="K25"/>
    </sheetView>
  </sheetViews>
  <sheetFormatPr defaultRowHeight="15" x14ac:dyDescent="0.25"/>
  <cols>
    <col min="2" max="2" width="39.7109375" bestFit="1" customWidth="1"/>
    <col min="3" max="3" width="20.28515625" customWidth="1"/>
    <col min="4" max="4" width="14.140625" customWidth="1"/>
    <col min="5" max="5" width="13.7109375" customWidth="1"/>
    <col min="6" max="14" width="19.140625" customWidth="1"/>
    <col min="15" max="16" width="10.28515625" bestFit="1" customWidth="1"/>
    <col min="17" max="17" width="10.28515625" customWidth="1"/>
    <col min="18" max="18" width="11.85546875" customWidth="1"/>
    <col min="19" max="23" width="10.28515625" bestFit="1" customWidth="1"/>
  </cols>
  <sheetData>
    <row r="1" spans="1:18" x14ac:dyDescent="0.25">
      <c r="B1" t="s">
        <v>158</v>
      </c>
    </row>
    <row r="2" spans="1:18" x14ac:dyDescent="0.25">
      <c r="A2" s="67"/>
      <c r="B2" s="65" t="s">
        <v>20</v>
      </c>
      <c r="C2" s="65" t="s">
        <v>75</v>
      </c>
      <c r="D2" s="65" t="s">
        <v>76</v>
      </c>
      <c r="E2" s="65" t="s">
        <v>77</v>
      </c>
      <c r="F2" s="65" t="s">
        <v>78</v>
      </c>
      <c r="G2" s="65" t="s">
        <v>79</v>
      </c>
      <c r="H2" s="65" t="s">
        <v>80</v>
      </c>
      <c r="I2" s="65" t="s">
        <v>81</v>
      </c>
      <c r="J2" s="65" t="s">
        <v>421</v>
      </c>
      <c r="K2" s="65" t="s">
        <v>82</v>
      </c>
      <c r="L2" s="65" t="s">
        <v>83</v>
      </c>
      <c r="M2" s="65" t="s">
        <v>344</v>
      </c>
      <c r="N2" s="65" t="s">
        <v>341</v>
      </c>
      <c r="O2" s="10" t="s">
        <v>0</v>
      </c>
      <c r="P2" s="10" t="s">
        <v>1</v>
      </c>
      <c r="Q2" s="10" t="s">
        <v>47</v>
      </c>
      <c r="R2" s="10" t="s">
        <v>12</v>
      </c>
    </row>
    <row r="3" spans="1:18" x14ac:dyDescent="0.25">
      <c r="A3" s="67">
        <v>1</v>
      </c>
      <c r="B3" s="2" t="s">
        <v>466</v>
      </c>
      <c r="C3" s="6"/>
      <c r="D3" s="6"/>
      <c r="E3" s="6"/>
      <c r="F3" s="29"/>
      <c r="G3" s="29"/>
      <c r="H3" s="29"/>
      <c r="I3" s="29"/>
      <c r="J3" s="29"/>
      <c r="K3" s="66"/>
      <c r="L3" s="66"/>
      <c r="M3" s="66"/>
      <c r="N3" s="66"/>
      <c r="O3" s="124">
        <f t="shared" ref="O3:O32" si="0">SUM(C3:N3)</f>
        <v>0</v>
      </c>
      <c r="P3" s="124"/>
      <c r="Q3" s="28"/>
      <c r="R3" s="7">
        <f t="shared" ref="R3:R32" si="1">NormalizeResult($C$71,$D$71,$C$70,$D$70,$C$69,$D$69,O3)+P3+IF(Q3&gt;$Q$64,Q3*$Q$65,0)</f>
        <v>0</v>
      </c>
    </row>
    <row r="4" spans="1:18" x14ac:dyDescent="0.25">
      <c r="A4" s="67">
        <v>2</v>
      </c>
      <c r="B4" s="2" t="s">
        <v>478</v>
      </c>
      <c r="C4" s="6"/>
      <c r="D4" s="6"/>
      <c r="E4" s="6">
        <f>30*1*0.8</f>
        <v>24</v>
      </c>
      <c r="F4" s="29"/>
      <c r="G4" s="29"/>
      <c r="H4" s="29"/>
      <c r="I4" s="29">
        <f>80*(0.5*0.9+0.25*0.6)</f>
        <v>48</v>
      </c>
      <c r="J4" s="29"/>
      <c r="K4" s="66"/>
      <c r="L4" s="66"/>
      <c r="M4" s="66"/>
      <c r="N4" s="66"/>
      <c r="O4" s="124">
        <f t="shared" si="0"/>
        <v>72</v>
      </c>
      <c r="P4" s="124"/>
      <c r="Q4" s="28"/>
      <c r="R4" s="7">
        <f t="shared" si="1"/>
        <v>5.4</v>
      </c>
    </row>
    <row r="5" spans="1:18" x14ac:dyDescent="0.25">
      <c r="A5" s="67">
        <v>3</v>
      </c>
      <c r="B5" t="s">
        <v>449</v>
      </c>
      <c r="C5" s="6"/>
      <c r="D5" s="6"/>
      <c r="E5" s="6"/>
      <c r="F5" s="29"/>
      <c r="G5" s="29"/>
      <c r="H5" s="29"/>
      <c r="I5" s="29">
        <f>80*0.7*1.1</f>
        <v>61.600000000000009</v>
      </c>
      <c r="J5" s="29"/>
      <c r="K5" s="66"/>
      <c r="L5" s="66"/>
      <c r="M5" s="66"/>
      <c r="N5" s="66"/>
      <c r="O5" s="3">
        <f>SUM(C5:N5)</f>
        <v>61.600000000000009</v>
      </c>
      <c r="P5" s="3"/>
      <c r="Q5" s="28"/>
      <c r="R5" s="7">
        <f t="shared" si="1"/>
        <v>4.620000000000001</v>
      </c>
    </row>
    <row r="6" spans="1:18" x14ac:dyDescent="0.25">
      <c r="A6" s="67">
        <v>4</v>
      </c>
      <c r="B6" s="2" t="s">
        <v>479</v>
      </c>
      <c r="C6" s="6"/>
      <c r="D6" s="6"/>
      <c r="E6" s="6"/>
      <c r="F6" s="29"/>
      <c r="G6" s="29"/>
      <c r="H6" s="29"/>
      <c r="I6" s="29"/>
      <c r="J6" s="29"/>
      <c r="K6" s="66"/>
      <c r="L6" s="66"/>
      <c r="M6" s="66"/>
      <c r="N6" s="66"/>
      <c r="O6" s="124">
        <f t="shared" si="0"/>
        <v>0</v>
      </c>
      <c r="P6" s="124"/>
      <c r="Q6" s="28"/>
      <c r="R6" s="7">
        <f t="shared" si="1"/>
        <v>0</v>
      </c>
    </row>
    <row r="7" spans="1:18" x14ac:dyDescent="0.25">
      <c r="A7" s="67">
        <v>5</v>
      </c>
      <c r="B7" s="2" t="s">
        <v>480</v>
      </c>
      <c r="C7" s="6"/>
      <c r="D7" s="6"/>
      <c r="E7" s="6"/>
      <c r="F7" s="29"/>
      <c r="G7" s="29"/>
      <c r="H7" s="29"/>
      <c r="I7" s="29"/>
      <c r="J7" s="29"/>
      <c r="K7" s="66"/>
      <c r="L7" s="66"/>
      <c r="M7" s="66"/>
      <c r="N7" s="66"/>
      <c r="O7" s="124">
        <f t="shared" si="0"/>
        <v>0</v>
      </c>
      <c r="P7" s="124"/>
      <c r="Q7" s="28"/>
      <c r="R7" s="7">
        <f t="shared" si="1"/>
        <v>0</v>
      </c>
    </row>
    <row r="8" spans="1:18" x14ac:dyDescent="0.25">
      <c r="A8" s="67">
        <v>6</v>
      </c>
      <c r="B8" s="2" t="s">
        <v>483</v>
      </c>
      <c r="C8" s="6"/>
      <c r="D8" s="6"/>
      <c r="E8" s="6">
        <f>30*0.8*1.1</f>
        <v>26.400000000000002</v>
      </c>
      <c r="F8" s="29"/>
      <c r="G8" s="29"/>
      <c r="H8" s="29"/>
      <c r="I8" s="29"/>
      <c r="J8" s="29">
        <f>150*0.6*1.1</f>
        <v>99.000000000000014</v>
      </c>
      <c r="K8" s="66"/>
      <c r="L8" s="66"/>
      <c r="M8" s="66"/>
      <c r="N8" s="66"/>
      <c r="O8" s="124">
        <f>SUM(C8:N8)</f>
        <v>125.40000000000002</v>
      </c>
      <c r="P8" s="124"/>
      <c r="Q8" s="28"/>
      <c r="R8" s="7">
        <f t="shared" si="1"/>
        <v>6.9728571428571433</v>
      </c>
    </row>
    <row r="9" spans="1:18" x14ac:dyDescent="0.25">
      <c r="A9" s="67">
        <v>7</v>
      </c>
      <c r="B9" s="2" t="s">
        <v>481</v>
      </c>
      <c r="C9" s="6"/>
      <c r="D9" s="6"/>
      <c r="E9" s="6"/>
      <c r="F9" s="29">
        <f>20*0.7*1.1</f>
        <v>15.400000000000002</v>
      </c>
      <c r="G9" s="29">
        <f>150*0.7*1.1</f>
        <v>115.50000000000001</v>
      </c>
      <c r="H9" s="29"/>
      <c r="I9" s="29"/>
      <c r="J9" s="29"/>
      <c r="K9" s="66"/>
      <c r="L9" s="66"/>
      <c r="M9" s="66"/>
      <c r="N9" s="66"/>
      <c r="O9" s="124">
        <f t="shared" si="0"/>
        <v>130.9</v>
      </c>
      <c r="P9" s="124"/>
      <c r="Q9" s="28"/>
      <c r="R9" s="7">
        <f t="shared" si="1"/>
        <v>7.0907142857142862</v>
      </c>
    </row>
    <row r="10" spans="1:18" x14ac:dyDescent="0.25">
      <c r="A10" s="67">
        <v>8</v>
      </c>
      <c r="B10" s="2" t="s">
        <v>482</v>
      </c>
      <c r="C10" s="6"/>
      <c r="D10" s="6"/>
      <c r="E10" s="6"/>
      <c r="F10" s="29"/>
      <c r="G10" s="29"/>
      <c r="H10" s="29"/>
      <c r="I10" s="29"/>
      <c r="J10" s="29"/>
      <c r="K10" s="66"/>
      <c r="L10" s="66"/>
      <c r="M10" s="66"/>
      <c r="N10" s="66"/>
      <c r="O10" s="124">
        <f t="shared" si="0"/>
        <v>0</v>
      </c>
      <c r="P10" s="124"/>
      <c r="Q10" s="28"/>
      <c r="R10" s="7">
        <f t="shared" si="1"/>
        <v>0</v>
      </c>
    </row>
    <row r="11" spans="1:18" x14ac:dyDescent="0.25">
      <c r="A11" s="67">
        <v>9</v>
      </c>
      <c r="B11" s="2" t="s">
        <v>484</v>
      </c>
      <c r="C11" s="6"/>
      <c r="D11" s="6"/>
      <c r="E11" s="6"/>
      <c r="F11" s="29"/>
      <c r="G11" s="29">
        <f>150*0.7*1.1</f>
        <v>115.50000000000001</v>
      </c>
      <c r="H11" s="29"/>
      <c r="I11" s="29"/>
      <c r="J11" s="29"/>
      <c r="K11" s="66"/>
      <c r="L11" s="66"/>
      <c r="M11" s="66"/>
      <c r="N11" s="66"/>
      <c r="O11" s="124">
        <f t="shared" si="0"/>
        <v>115.50000000000001</v>
      </c>
      <c r="P11" s="124"/>
      <c r="Q11" s="28"/>
      <c r="R11" s="7">
        <f t="shared" si="1"/>
        <v>6.7607142857142861</v>
      </c>
    </row>
    <row r="12" spans="1:18" x14ac:dyDescent="0.25">
      <c r="A12" s="67">
        <v>10</v>
      </c>
      <c r="B12" s="2" t="s">
        <v>485</v>
      </c>
      <c r="C12" s="6"/>
      <c r="D12" s="6"/>
      <c r="E12" s="6"/>
      <c r="F12" s="29"/>
      <c r="G12" s="29"/>
      <c r="H12" s="29"/>
      <c r="I12" s="29"/>
      <c r="J12" s="29"/>
      <c r="K12" s="66"/>
      <c r="L12" s="66"/>
      <c r="M12" s="66"/>
      <c r="N12" s="66"/>
      <c r="O12" s="124">
        <f t="shared" si="0"/>
        <v>0</v>
      </c>
      <c r="P12" s="124"/>
      <c r="Q12" s="28"/>
      <c r="R12" s="7">
        <f t="shared" si="1"/>
        <v>0</v>
      </c>
    </row>
    <row r="13" spans="1:18" x14ac:dyDescent="0.25">
      <c r="A13" s="67">
        <v>11</v>
      </c>
      <c r="B13" s="2" t="s">
        <v>486</v>
      </c>
      <c r="C13" s="6"/>
      <c r="D13" s="6"/>
      <c r="E13" s="6">
        <f>30*(0.65*1.1+0.35*1)</f>
        <v>31.95</v>
      </c>
      <c r="F13" s="29"/>
      <c r="G13" s="29"/>
      <c r="H13" s="29"/>
      <c r="I13" s="29">
        <f>80*0.7*1.1</f>
        <v>61.600000000000009</v>
      </c>
      <c r="J13" s="29"/>
      <c r="K13" s="66"/>
      <c r="L13" s="66"/>
      <c r="M13" s="66"/>
      <c r="N13" s="66"/>
      <c r="O13" s="124">
        <f t="shared" si="0"/>
        <v>93.550000000000011</v>
      </c>
      <c r="P13" s="124"/>
      <c r="Q13" s="28"/>
      <c r="R13" s="7">
        <f t="shared" si="1"/>
        <v>6.2903571428571432</v>
      </c>
    </row>
    <row r="14" spans="1:18" x14ac:dyDescent="0.25">
      <c r="A14" s="67">
        <v>12</v>
      </c>
      <c r="B14" s="2" t="s">
        <v>487</v>
      </c>
      <c r="C14" s="6"/>
      <c r="D14" s="6"/>
      <c r="E14" s="6"/>
      <c r="F14" s="29"/>
      <c r="G14" s="29"/>
      <c r="H14" s="29"/>
      <c r="I14" s="29"/>
      <c r="J14" s="29"/>
      <c r="K14" s="66"/>
      <c r="L14" s="66"/>
      <c r="M14" s="66"/>
      <c r="N14" s="66"/>
      <c r="O14" s="124">
        <f t="shared" si="0"/>
        <v>0</v>
      </c>
      <c r="P14" s="124"/>
      <c r="Q14" s="28"/>
      <c r="R14" s="7">
        <f t="shared" si="1"/>
        <v>0</v>
      </c>
    </row>
    <row r="15" spans="1:18" x14ac:dyDescent="0.25">
      <c r="A15" s="67">
        <v>13</v>
      </c>
      <c r="B15" s="2" t="s">
        <v>488</v>
      </c>
      <c r="C15" s="6"/>
      <c r="D15" s="6"/>
      <c r="E15" s="6">
        <f>30*0.5*1</f>
        <v>15</v>
      </c>
      <c r="F15" s="29"/>
      <c r="G15" s="29"/>
      <c r="H15" s="29"/>
      <c r="I15" s="29"/>
      <c r="J15" s="29"/>
      <c r="K15" s="66"/>
      <c r="L15" s="66"/>
      <c r="M15" s="66"/>
      <c r="N15" s="66"/>
      <c r="O15" s="124">
        <f t="shared" si="0"/>
        <v>15</v>
      </c>
      <c r="P15" s="124"/>
      <c r="Q15" s="28"/>
      <c r="R15" s="7">
        <f t="shared" si="1"/>
        <v>1.125</v>
      </c>
    </row>
    <row r="16" spans="1:18" x14ac:dyDescent="0.25">
      <c r="A16" s="67">
        <v>14</v>
      </c>
      <c r="B16" s="2" t="s">
        <v>473</v>
      </c>
      <c r="C16" s="6"/>
      <c r="D16" s="6"/>
      <c r="E16" s="6">
        <f>30*0.5*1</f>
        <v>15</v>
      </c>
      <c r="F16" s="29"/>
      <c r="G16" s="29">
        <f>150*0.5*1.1</f>
        <v>82.5</v>
      </c>
      <c r="H16" s="29"/>
      <c r="I16" s="29"/>
      <c r="J16" s="29"/>
      <c r="K16" s="66"/>
      <c r="L16" s="66"/>
      <c r="M16" s="66"/>
      <c r="N16" s="66"/>
      <c r="O16" s="124">
        <f t="shared" si="0"/>
        <v>97.5</v>
      </c>
      <c r="P16" s="124"/>
      <c r="Q16" s="28"/>
      <c r="R16" s="7">
        <f t="shared" si="1"/>
        <v>6.375</v>
      </c>
    </row>
    <row r="17" spans="1:19" x14ac:dyDescent="0.25">
      <c r="A17" s="67">
        <v>15</v>
      </c>
      <c r="B17" s="2" t="s">
        <v>474</v>
      </c>
      <c r="C17" s="6"/>
      <c r="D17" s="6"/>
      <c r="E17" s="6"/>
      <c r="F17" s="29"/>
      <c r="G17" s="29"/>
      <c r="H17" s="29"/>
      <c r="I17" s="29"/>
      <c r="J17" s="29"/>
      <c r="K17" s="66"/>
      <c r="L17" s="66"/>
      <c r="M17" s="66"/>
      <c r="N17" s="66"/>
      <c r="O17" s="124">
        <f t="shared" si="0"/>
        <v>0</v>
      </c>
      <c r="P17" s="124"/>
      <c r="Q17" s="28"/>
      <c r="R17" s="7">
        <f t="shared" si="1"/>
        <v>0</v>
      </c>
    </row>
    <row r="18" spans="1:19" x14ac:dyDescent="0.25">
      <c r="A18" s="67">
        <v>16</v>
      </c>
      <c r="B18" s="2" t="s">
        <v>489</v>
      </c>
      <c r="C18" s="6"/>
      <c r="D18" s="6"/>
      <c r="E18" s="6"/>
      <c r="F18" s="29"/>
      <c r="G18" s="29"/>
      <c r="H18" s="29"/>
      <c r="I18" s="29">
        <f>80*0.7*0.6</f>
        <v>33.6</v>
      </c>
      <c r="J18" s="29"/>
      <c r="K18" s="66"/>
      <c r="L18" s="66"/>
      <c r="M18" s="66"/>
      <c r="N18" s="66"/>
      <c r="O18" s="124">
        <f t="shared" si="0"/>
        <v>33.6</v>
      </c>
      <c r="P18" s="124"/>
      <c r="Q18" s="28"/>
      <c r="R18" s="7">
        <f t="shared" si="1"/>
        <v>2.52</v>
      </c>
      <c r="S18" s="38"/>
    </row>
    <row r="19" spans="1:19" x14ac:dyDescent="0.25">
      <c r="A19" s="67">
        <v>17</v>
      </c>
      <c r="B19" s="2" t="s">
        <v>475</v>
      </c>
      <c r="C19" s="6"/>
      <c r="D19" s="6"/>
      <c r="E19" s="6"/>
      <c r="F19" s="29"/>
      <c r="G19" s="29"/>
      <c r="H19" s="29"/>
      <c r="I19" s="29"/>
      <c r="J19" s="29"/>
      <c r="K19" s="66"/>
      <c r="L19" s="66"/>
      <c r="M19" s="66"/>
      <c r="N19" s="66"/>
      <c r="O19" s="124">
        <f t="shared" si="0"/>
        <v>0</v>
      </c>
      <c r="P19" s="124"/>
      <c r="Q19" s="28"/>
      <c r="R19" s="7">
        <f t="shared" si="1"/>
        <v>0</v>
      </c>
    </row>
    <row r="20" spans="1:19" x14ac:dyDescent="0.25">
      <c r="A20" s="67">
        <v>18</v>
      </c>
      <c r="B20" s="2" t="s">
        <v>490</v>
      </c>
      <c r="C20" s="6"/>
      <c r="D20" s="6"/>
      <c r="E20" s="6"/>
      <c r="F20" s="29"/>
      <c r="G20" s="29"/>
      <c r="H20" s="29"/>
      <c r="I20" s="29"/>
      <c r="J20" s="29"/>
      <c r="K20" s="66"/>
      <c r="L20" s="66"/>
      <c r="M20" s="66"/>
      <c r="N20" s="66"/>
      <c r="O20" s="124">
        <f t="shared" si="0"/>
        <v>0</v>
      </c>
      <c r="P20" s="124"/>
      <c r="Q20" s="28"/>
      <c r="R20" s="7">
        <f t="shared" si="1"/>
        <v>0</v>
      </c>
    </row>
    <row r="21" spans="1:19" x14ac:dyDescent="0.25">
      <c r="A21" s="67">
        <v>19</v>
      </c>
      <c r="B21" s="2" t="s">
        <v>491</v>
      </c>
      <c r="C21" s="6"/>
      <c r="D21" s="6"/>
      <c r="E21" s="6"/>
      <c r="F21" s="29"/>
      <c r="G21" s="29"/>
      <c r="H21" s="29"/>
      <c r="I21" s="29"/>
      <c r="J21" s="29"/>
      <c r="K21" s="66"/>
      <c r="L21" s="66"/>
      <c r="M21" s="66"/>
      <c r="N21" s="66"/>
      <c r="O21" s="124">
        <f t="shared" si="0"/>
        <v>0</v>
      </c>
      <c r="P21" s="124"/>
      <c r="Q21" s="28"/>
      <c r="R21" s="7">
        <f t="shared" si="1"/>
        <v>0</v>
      </c>
    </row>
    <row r="22" spans="1:19" x14ac:dyDescent="0.25">
      <c r="A22" s="67">
        <v>20</v>
      </c>
      <c r="B22" s="2" t="s">
        <v>477</v>
      </c>
      <c r="C22" s="6"/>
      <c r="D22" s="6"/>
      <c r="E22" s="6"/>
      <c r="F22" s="29"/>
      <c r="G22" s="29"/>
      <c r="H22" s="29"/>
      <c r="I22" s="29"/>
      <c r="J22" s="29"/>
      <c r="K22" s="66"/>
      <c r="L22" s="66"/>
      <c r="M22" s="66"/>
      <c r="N22" s="66"/>
      <c r="O22" s="124">
        <f t="shared" si="0"/>
        <v>0</v>
      </c>
      <c r="P22" s="124"/>
      <c r="Q22" s="28"/>
      <c r="R22" s="7">
        <f t="shared" si="1"/>
        <v>0</v>
      </c>
    </row>
    <row r="23" spans="1:19" x14ac:dyDescent="0.25">
      <c r="A23" s="67">
        <v>21</v>
      </c>
      <c r="B23" s="2" t="s">
        <v>492</v>
      </c>
      <c r="C23" s="6"/>
      <c r="D23" s="6"/>
      <c r="E23" s="6">
        <f>30*0.7*1.1</f>
        <v>23.1</v>
      </c>
      <c r="F23" s="29"/>
      <c r="G23" s="29">
        <f>150*0.6*0.9</f>
        <v>81</v>
      </c>
      <c r="H23" s="29"/>
      <c r="I23" s="29"/>
      <c r="J23" s="29"/>
      <c r="K23" s="66"/>
      <c r="L23" s="66"/>
      <c r="M23" s="66"/>
      <c r="N23" s="66"/>
      <c r="O23" s="124">
        <f t="shared" si="0"/>
        <v>104.1</v>
      </c>
      <c r="P23" s="124"/>
      <c r="Q23" s="28"/>
      <c r="R23" s="7">
        <f t="shared" si="1"/>
        <v>6.5164285714285715</v>
      </c>
    </row>
    <row r="24" spans="1:19" x14ac:dyDescent="0.25">
      <c r="A24" s="67">
        <v>22</v>
      </c>
      <c r="B24" s="2" t="s">
        <v>493</v>
      </c>
      <c r="C24" s="6"/>
      <c r="D24" s="6"/>
      <c r="E24" s="6"/>
      <c r="F24" s="29"/>
      <c r="G24" s="29"/>
      <c r="H24" s="29"/>
      <c r="I24" s="29"/>
      <c r="J24" s="29"/>
      <c r="K24" s="66">
        <f>100*1*0.6</f>
        <v>60</v>
      </c>
      <c r="L24" s="66"/>
      <c r="M24" s="66"/>
      <c r="N24" s="66"/>
      <c r="O24" s="124">
        <f t="shared" si="0"/>
        <v>60</v>
      </c>
      <c r="P24" s="124"/>
      <c r="Q24" s="28"/>
      <c r="R24" s="7">
        <f t="shared" si="1"/>
        <v>4.5</v>
      </c>
    </row>
    <row r="25" spans="1:19" x14ac:dyDescent="0.25">
      <c r="A25" s="67">
        <v>23</v>
      </c>
      <c r="B25" s="2" t="s">
        <v>494</v>
      </c>
      <c r="C25" s="6"/>
      <c r="D25" s="6"/>
      <c r="E25" s="6"/>
      <c r="F25" s="29"/>
      <c r="G25" s="29"/>
      <c r="H25" s="29"/>
      <c r="I25" s="29"/>
      <c r="J25" s="29"/>
      <c r="K25" s="66"/>
      <c r="L25" s="66"/>
      <c r="M25" s="66"/>
      <c r="N25" s="66"/>
      <c r="O25" s="124">
        <f t="shared" si="0"/>
        <v>0</v>
      </c>
      <c r="P25" s="124"/>
      <c r="Q25" s="28"/>
      <c r="R25" s="7">
        <f t="shared" si="1"/>
        <v>0</v>
      </c>
    </row>
    <row r="26" spans="1:19" x14ac:dyDescent="0.25">
      <c r="A26" s="67">
        <v>24</v>
      </c>
      <c r="B26" s="2" t="s">
        <v>476</v>
      </c>
      <c r="C26" s="6"/>
      <c r="D26" s="6"/>
      <c r="E26" s="6"/>
      <c r="F26" s="29"/>
      <c r="G26" s="29"/>
      <c r="H26" s="29"/>
      <c r="I26" s="29"/>
      <c r="J26" s="29"/>
      <c r="K26" s="66"/>
      <c r="L26" s="66"/>
      <c r="M26" s="66"/>
      <c r="N26" s="66"/>
      <c r="O26" s="124">
        <f t="shared" si="0"/>
        <v>0</v>
      </c>
      <c r="P26" s="124"/>
      <c r="Q26" s="28"/>
      <c r="R26" s="7">
        <f t="shared" si="1"/>
        <v>0</v>
      </c>
    </row>
    <row r="27" spans="1:19" x14ac:dyDescent="0.25">
      <c r="A27" s="67">
        <v>25</v>
      </c>
      <c r="B27" s="2" t="s">
        <v>495</v>
      </c>
      <c r="C27" s="6"/>
      <c r="D27" s="6"/>
      <c r="E27" s="6">
        <f>30*0.6*1.1</f>
        <v>19.8</v>
      </c>
      <c r="F27" s="29"/>
      <c r="G27" s="29"/>
      <c r="H27" s="29"/>
      <c r="I27" s="29"/>
      <c r="J27" s="29"/>
      <c r="K27" s="66"/>
      <c r="L27" s="66"/>
      <c r="M27" s="66"/>
      <c r="N27" s="66"/>
      <c r="O27" s="124">
        <f t="shared" si="0"/>
        <v>19.8</v>
      </c>
      <c r="P27" s="124"/>
      <c r="Q27" s="28"/>
      <c r="R27" s="7">
        <f t="shared" si="1"/>
        <v>1.4850000000000001</v>
      </c>
    </row>
    <row r="28" spans="1:19" x14ac:dyDescent="0.25">
      <c r="A28" s="67">
        <v>26</v>
      </c>
      <c r="B28" s="2" t="s">
        <v>496</v>
      </c>
      <c r="C28" s="6"/>
      <c r="D28" s="6"/>
      <c r="E28" s="6"/>
      <c r="F28" s="29"/>
      <c r="G28" s="29"/>
      <c r="H28" s="29"/>
      <c r="I28" s="29">
        <f>80*(0.5*1.1+0.15*0.7)</f>
        <v>52.400000000000006</v>
      </c>
      <c r="J28" s="29"/>
      <c r="K28" s="66"/>
      <c r="L28" s="66"/>
      <c r="M28" s="66"/>
      <c r="N28" s="66"/>
      <c r="O28" s="124">
        <f t="shared" si="0"/>
        <v>52.400000000000006</v>
      </c>
      <c r="P28" s="124"/>
      <c r="Q28" s="28"/>
      <c r="R28" s="7">
        <f t="shared" si="1"/>
        <v>3.9300000000000006</v>
      </c>
    </row>
    <row r="29" spans="1:19" x14ac:dyDescent="0.25">
      <c r="A29" s="67">
        <v>27</v>
      </c>
      <c r="B29" s="2" t="s">
        <v>472</v>
      </c>
      <c r="C29" s="6"/>
      <c r="D29" s="6"/>
      <c r="E29" s="6"/>
      <c r="F29" s="29"/>
      <c r="G29" s="29"/>
      <c r="H29" s="29"/>
      <c r="I29" s="29"/>
      <c r="J29" s="29">
        <v>150</v>
      </c>
      <c r="K29" s="66"/>
      <c r="L29" s="66"/>
      <c r="M29" s="66"/>
      <c r="N29" s="66"/>
      <c r="O29" s="124">
        <f t="shared" si="0"/>
        <v>150</v>
      </c>
      <c r="P29" s="124"/>
      <c r="Q29" s="28"/>
      <c r="R29" s="7">
        <f t="shared" si="1"/>
        <v>7.5</v>
      </c>
    </row>
    <row r="30" spans="1:19" x14ac:dyDescent="0.25">
      <c r="A30" s="67">
        <v>28</v>
      </c>
      <c r="B30" s="2" t="s">
        <v>497</v>
      </c>
      <c r="C30" s="6"/>
      <c r="D30" s="6"/>
      <c r="E30" s="6">
        <f>30*0.6*0.8</f>
        <v>14.4</v>
      </c>
      <c r="F30" s="29"/>
      <c r="G30" s="29"/>
      <c r="H30" s="29"/>
      <c r="I30" s="29">
        <f>80*0.4*0.9</f>
        <v>28.8</v>
      </c>
      <c r="J30" s="29"/>
      <c r="K30" s="66"/>
      <c r="L30" s="66"/>
      <c r="M30" s="66"/>
      <c r="N30" s="66"/>
      <c r="O30" s="124">
        <f t="shared" si="0"/>
        <v>43.2</v>
      </c>
      <c r="P30" s="124"/>
      <c r="Q30" s="28"/>
      <c r="R30" s="7">
        <f t="shared" si="1"/>
        <v>3.24</v>
      </c>
    </row>
    <row r="31" spans="1:19" x14ac:dyDescent="0.25">
      <c r="A31" s="67">
        <v>29</v>
      </c>
      <c r="B31" s="124"/>
      <c r="C31" s="6"/>
      <c r="D31" s="6"/>
      <c r="E31" s="6"/>
      <c r="F31" s="29"/>
      <c r="G31" s="29"/>
      <c r="H31" s="29"/>
      <c r="I31" s="29"/>
      <c r="J31" s="29"/>
      <c r="K31" s="66"/>
      <c r="L31" s="66"/>
      <c r="M31" s="66"/>
      <c r="N31" s="66"/>
      <c r="O31" s="124">
        <f t="shared" si="0"/>
        <v>0</v>
      </c>
      <c r="P31" s="124"/>
      <c r="Q31" s="28"/>
      <c r="R31" s="7">
        <f t="shared" si="1"/>
        <v>0</v>
      </c>
    </row>
    <row r="32" spans="1:19" x14ac:dyDescent="0.25">
      <c r="A32" s="67">
        <v>30</v>
      </c>
      <c r="B32" s="124"/>
      <c r="C32" s="6"/>
      <c r="D32" s="6"/>
      <c r="E32" s="6"/>
      <c r="F32" s="29"/>
      <c r="G32" s="29"/>
      <c r="H32" s="29"/>
      <c r="I32" s="29"/>
      <c r="J32" s="29"/>
      <c r="K32" s="66"/>
      <c r="L32" s="66"/>
      <c r="M32" s="66"/>
      <c r="N32" s="66"/>
      <c r="O32" s="124">
        <f t="shared" si="0"/>
        <v>0</v>
      </c>
      <c r="P32" s="124"/>
      <c r="Q32" s="28"/>
      <c r="R32" s="7">
        <f t="shared" si="1"/>
        <v>0</v>
      </c>
    </row>
    <row r="33" spans="1:18" x14ac:dyDescent="0.25">
      <c r="A33" s="67"/>
      <c r="B33" s="65" t="s">
        <v>124</v>
      </c>
      <c r="C33" s="65" t="s">
        <v>75</v>
      </c>
      <c r="D33" s="65" t="s">
        <v>76</v>
      </c>
      <c r="E33" s="65" t="s">
        <v>77</v>
      </c>
      <c r="F33" s="65" t="s">
        <v>78</v>
      </c>
      <c r="G33" s="65" t="s">
        <v>79</v>
      </c>
      <c r="H33" s="65" t="s">
        <v>80</v>
      </c>
      <c r="I33" s="65" t="s">
        <v>81</v>
      </c>
      <c r="J33" s="65" t="s">
        <v>421</v>
      </c>
      <c r="K33" s="65" t="s">
        <v>82</v>
      </c>
      <c r="L33" s="65" t="s">
        <v>83</v>
      </c>
      <c r="M33" s="65" t="s">
        <v>344</v>
      </c>
      <c r="N33" s="65" t="s">
        <v>341</v>
      </c>
      <c r="O33" s="10" t="s">
        <v>0</v>
      </c>
      <c r="P33" s="10" t="s">
        <v>1</v>
      </c>
      <c r="Q33" s="10" t="s">
        <v>47</v>
      </c>
      <c r="R33" s="10" t="s">
        <v>12</v>
      </c>
    </row>
    <row r="34" spans="1:18" x14ac:dyDescent="0.25">
      <c r="A34" s="67">
        <v>1</v>
      </c>
      <c r="B34" s="2" t="s">
        <v>422</v>
      </c>
      <c r="C34" s="6"/>
      <c r="D34" s="6"/>
      <c r="E34" s="6"/>
      <c r="F34" s="29"/>
      <c r="G34" s="29"/>
      <c r="H34" s="29"/>
      <c r="I34" s="29"/>
      <c r="J34" s="29"/>
      <c r="K34" s="66"/>
      <c r="L34" s="66"/>
      <c r="M34" s="66"/>
      <c r="N34" s="66"/>
      <c r="O34" s="3">
        <f>SUM(C34:N34)</f>
        <v>0</v>
      </c>
      <c r="P34" s="3"/>
      <c r="Q34" s="28"/>
      <c r="R34" s="7">
        <f>NormalizeResult($C$71,$D$71,$C$70,$D$70,$C$69,$D$69,O34)+P34+IF(Q34&gt;$Q$64,Q34*$Q$65,0)</f>
        <v>0</v>
      </c>
    </row>
    <row r="35" spans="1:18" x14ac:dyDescent="0.25">
      <c r="A35" s="67">
        <v>2</v>
      </c>
      <c r="B35" s="2" t="s">
        <v>423</v>
      </c>
      <c r="C35" s="6"/>
      <c r="D35" s="6"/>
      <c r="E35" s="6"/>
      <c r="F35" s="29"/>
      <c r="G35" s="29"/>
      <c r="H35" s="29"/>
      <c r="I35" s="29"/>
      <c r="J35" s="29"/>
      <c r="K35" s="66"/>
      <c r="L35" s="66"/>
      <c r="M35" s="66"/>
      <c r="N35" s="66"/>
      <c r="O35" s="124">
        <f t="shared" ref="O35:O63" si="2">SUM(C35:N35)</f>
        <v>0</v>
      </c>
      <c r="P35" s="124"/>
      <c r="Q35" s="28"/>
      <c r="R35" s="7">
        <f t="shared" ref="R35:R63" si="3">NormalizeResult($C$71,$D$71,$C$70,$D$70,$C$69,$D$69,O35)+P35+IF(Q35&gt;$Q$64,Q35*$Q$65,0)</f>
        <v>0</v>
      </c>
    </row>
    <row r="36" spans="1:18" x14ac:dyDescent="0.25">
      <c r="A36" s="67">
        <v>3</v>
      </c>
      <c r="B36" s="2" t="s">
        <v>424</v>
      </c>
      <c r="C36" s="6"/>
      <c r="D36" s="6"/>
      <c r="E36" s="6"/>
      <c r="F36" s="29"/>
      <c r="G36" s="29"/>
      <c r="H36" s="29"/>
      <c r="I36" s="29"/>
      <c r="J36" s="29"/>
      <c r="K36" s="66"/>
      <c r="L36" s="66"/>
      <c r="M36" s="66"/>
      <c r="N36" s="66"/>
      <c r="O36" s="124">
        <f t="shared" si="2"/>
        <v>0</v>
      </c>
      <c r="P36" s="124"/>
      <c r="Q36" s="28"/>
      <c r="R36" s="7">
        <f t="shared" si="3"/>
        <v>0</v>
      </c>
    </row>
    <row r="37" spans="1:18" x14ac:dyDescent="0.25">
      <c r="A37" s="67">
        <v>4</v>
      </c>
      <c r="B37" s="2" t="s">
        <v>425</v>
      </c>
      <c r="C37" s="6"/>
      <c r="D37" s="6"/>
      <c r="E37" s="6"/>
      <c r="F37" s="29"/>
      <c r="G37" s="29"/>
      <c r="H37" s="29"/>
      <c r="I37" s="29"/>
      <c r="J37" s="29"/>
      <c r="K37" s="66"/>
      <c r="L37" s="66"/>
      <c r="M37" s="66"/>
      <c r="N37" s="66"/>
      <c r="O37" s="124">
        <f t="shared" si="2"/>
        <v>0</v>
      </c>
      <c r="P37" s="124"/>
      <c r="Q37" s="28"/>
      <c r="R37" s="7">
        <f t="shared" si="3"/>
        <v>0</v>
      </c>
    </row>
    <row r="38" spans="1:18" x14ac:dyDescent="0.25">
      <c r="A38" s="67">
        <v>5</v>
      </c>
      <c r="B38" s="2" t="s">
        <v>426</v>
      </c>
      <c r="C38" s="6"/>
      <c r="D38" s="6"/>
      <c r="E38" s="6"/>
      <c r="F38" s="29"/>
      <c r="G38" s="29"/>
      <c r="H38" s="29"/>
      <c r="I38" s="29"/>
      <c r="J38" s="29"/>
      <c r="K38" s="66"/>
      <c r="L38" s="66"/>
      <c r="M38" s="66"/>
      <c r="N38" s="66"/>
      <c r="O38" s="124">
        <f t="shared" si="2"/>
        <v>0</v>
      </c>
      <c r="P38" s="124"/>
      <c r="Q38" s="28"/>
      <c r="R38" s="7">
        <f t="shared" si="3"/>
        <v>0</v>
      </c>
    </row>
    <row r="39" spans="1:18" x14ac:dyDescent="0.25">
      <c r="A39" s="67">
        <v>6</v>
      </c>
      <c r="B39" s="2" t="s">
        <v>427</v>
      </c>
      <c r="C39" s="6"/>
      <c r="D39" s="6"/>
      <c r="E39" s="6"/>
      <c r="F39" s="29"/>
      <c r="G39" s="29"/>
      <c r="H39" s="29"/>
      <c r="I39" s="29"/>
      <c r="J39" s="29"/>
      <c r="K39" s="66"/>
      <c r="L39" s="66"/>
      <c r="M39" s="66"/>
      <c r="N39" s="66"/>
      <c r="O39" s="124">
        <f t="shared" si="2"/>
        <v>0</v>
      </c>
      <c r="P39" s="124"/>
      <c r="Q39" s="28"/>
      <c r="R39" s="7">
        <f t="shared" si="3"/>
        <v>0</v>
      </c>
    </row>
    <row r="40" spans="1:18" x14ac:dyDescent="0.25">
      <c r="A40" s="67">
        <v>7</v>
      </c>
      <c r="B40" s="2" t="s">
        <v>428</v>
      </c>
      <c r="C40" s="6"/>
      <c r="D40" s="6"/>
      <c r="E40" s="6"/>
      <c r="F40" s="29"/>
      <c r="G40" s="29"/>
      <c r="H40" s="29"/>
      <c r="I40" s="29"/>
      <c r="J40" s="29"/>
      <c r="K40" s="66"/>
      <c r="L40" s="66"/>
      <c r="M40" s="66"/>
      <c r="N40" s="66"/>
      <c r="O40" s="124">
        <f t="shared" si="2"/>
        <v>0</v>
      </c>
      <c r="P40" s="124"/>
      <c r="Q40" s="28"/>
      <c r="R40" s="7">
        <f t="shared" si="3"/>
        <v>0</v>
      </c>
    </row>
    <row r="41" spans="1:18" x14ac:dyDescent="0.25">
      <c r="A41" s="67">
        <v>8</v>
      </c>
      <c r="B41" s="2" t="s">
        <v>429</v>
      </c>
      <c r="C41" s="6"/>
      <c r="D41" s="6"/>
      <c r="E41" s="6"/>
      <c r="F41" s="29"/>
      <c r="G41" s="29"/>
      <c r="H41" s="29"/>
      <c r="I41" s="29"/>
      <c r="J41" s="29"/>
      <c r="K41" s="66"/>
      <c r="L41" s="66"/>
      <c r="M41" s="66"/>
      <c r="N41" s="66"/>
      <c r="O41" s="124">
        <f t="shared" si="2"/>
        <v>0</v>
      </c>
      <c r="P41" s="124"/>
      <c r="Q41" s="28"/>
      <c r="R41" s="7">
        <f t="shared" si="3"/>
        <v>0</v>
      </c>
    </row>
    <row r="42" spans="1:18" x14ac:dyDescent="0.25">
      <c r="A42" s="67">
        <v>9</v>
      </c>
      <c r="B42" s="2" t="s">
        <v>430</v>
      </c>
      <c r="C42" s="6"/>
      <c r="D42" s="6"/>
      <c r="E42" s="6"/>
      <c r="F42" s="29"/>
      <c r="G42" s="29"/>
      <c r="H42" s="29"/>
      <c r="I42" s="29"/>
      <c r="J42" s="29"/>
      <c r="K42" s="66"/>
      <c r="L42" s="66"/>
      <c r="M42" s="66"/>
      <c r="N42" s="66"/>
      <c r="O42" s="124">
        <f t="shared" si="2"/>
        <v>0</v>
      </c>
      <c r="P42" s="124"/>
      <c r="Q42" s="28"/>
      <c r="R42" s="7">
        <f t="shared" si="3"/>
        <v>0</v>
      </c>
    </row>
    <row r="43" spans="1:18" x14ac:dyDescent="0.25">
      <c r="A43" s="67">
        <v>10</v>
      </c>
      <c r="B43" s="2" t="s">
        <v>431</v>
      </c>
      <c r="C43" s="6"/>
      <c r="D43" s="6"/>
      <c r="E43" s="6"/>
      <c r="F43" s="29">
        <f>20*1*1.1</f>
        <v>22</v>
      </c>
      <c r="G43" s="29"/>
      <c r="H43" s="29"/>
      <c r="I43" s="29">
        <f>80*(0.5*1.1+0.25*0.9)</f>
        <v>62</v>
      </c>
      <c r="J43" s="29"/>
      <c r="K43" s="66"/>
      <c r="L43" s="66"/>
      <c r="M43" s="66"/>
      <c r="N43" s="66"/>
      <c r="O43" s="124">
        <f t="shared" si="2"/>
        <v>84</v>
      </c>
      <c r="P43" s="124"/>
      <c r="Q43" s="28"/>
      <c r="R43" s="7">
        <f t="shared" si="3"/>
        <v>6.0857142857142854</v>
      </c>
    </row>
    <row r="44" spans="1:18" x14ac:dyDescent="0.25">
      <c r="A44" s="67">
        <v>11</v>
      </c>
      <c r="B44" s="2" t="s">
        <v>432</v>
      </c>
      <c r="C44" s="6"/>
      <c r="D44" s="6"/>
      <c r="E44" s="6"/>
      <c r="F44" s="29"/>
      <c r="G44" s="29"/>
      <c r="H44" s="29"/>
      <c r="I44" s="29"/>
      <c r="J44" s="29"/>
      <c r="K44" s="66"/>
      <c r="L44" s="66"/>
      <c r="M44" s="66"/>
      <c r="N44" s="66"/>
      <c r="O44" s="124">
        <f t="shared" si="2"/>
        <v>0</v>
      </c>
      <c r="P44" s="124"/>
      <c r="Q44" s="28"/>
      <c r="R44" s="7">
        <f t="shared" si="3"/>
        <v>0</v>
      </c>
    </row>
    <row r="45" spans="1:18" x14ac:dyDescent="0.25">
      <c r="A45" s="67">
        <v>12</v>
      </c>
      <c r="B45" s="2" t="s">
        <v>433</v>
      </c>
      <c r="C45" s="6"/>
      <c r="D45" s="6"/>
      <c r="E45" s="6"/>
      <c r="F45" s="29"/>
      <c r="G45" s="29"/>
      <c r="H45" s="29"/>
      <c r="I45" s="29"/>
      <c r="J45" s="29"/>
      <c r="K45" s="66"/>
      <c r="L45" s="66"/>
      <c r="M45" s="66"/>
      <c r="N45" s="66"/>
      <c r="O45" s="124">
        <f t="shared" si="2"/>
        <v>0</v>
      </c>
      <c r="P45" s="124"/>
      <c r="Q45" s="28"/>
      <c r="R45" s="7">
        <f t="shared" si="3"/>
        <v>0</v>
      </c>
    </row>
    <row r="46" spans="1:18" x14ac:dyDescent="0.25">
      <c r="A46" s="67">
        <v>13</v>
      </c>
      <c r="B46" s="2" t="s">
        <v>434</v>
      </c>
      <c r="C46" s="6"/>
      <c r="D46" s="6"/>
      <c r="E46" s="6"/>
      <c r="F46" s="29"/>
      <c r="G46" s="29"/>
      <c r="H46" s="29"/>
      <c r="I46" s="29"/>
      <c r="J46" s="29"/>
      <c r="K46" s="66"/>
      <c r="L46" s="66"/>
      <c r="M46" s="66"/>
      <c r="N46" s="66"/>
      <c r="O46" s="124">
        <f t="shared" si="2"/>
        <v>0</v>
      </c>
      <c r="P46" s="124"/>
      <c r="Q46" s="28"/>
      <c r="R46" s="7">
        <f t="shared" si="3"/>
        <v>0</v>
      </c>
    </row>
    <row r="47" spans="1:18" x14ac:dyDescent="0.25">
      <c r="A47" s="67">
        <v>14</v>
      </c>
      <c r="B47" s="2" t="s">
        <v>435</v>
      </c>
      <c r="C47" s="6"/>
      <c r="D47" s="6"/>
      <c r="E47" s="6"/>
      <c r="F47" s="29"/>
      <c r="G47" s="29"/>
      <c r="H47" s="29"/>
      <c r="I47" s="29"/>
      <c r="J47" s="29"/>
      <c r="K47" s="66"/>
      <c r="L47" s="66"/>
      <c r="M47" s="66"/>
      <c r="N47" s="66"/>
      <c r="O47" s="124">
        <f t="shared" si="2"/>
        <v>0</v>
      </c>
      <c r="P47" s="124"/>
      <c r="Q47" s="28"/>
      <c r="R47" s="7">
        <f t="shared" si="3"/>
        <v>0</v>
      </c>
    </row>
    <row r="48" spans="1:18" x14ac:dyDescent="0.25">
      <c r="A48" s="67">
        <v>15</v>
      </c>
      <c r="B48" s="2" t="s">
        <v>436</v>
      </c>
      <c r="C48" s="6"/>
      <c r="D48" s="6"/>
      <c r="E48" s="6">
        <f>30*0.6*0.8</f>
        <v>14.4</v>
      </c>
      <c r="F48" s="29"/>
      <c r="G48" s="29"/>
      <c r="H48" s="29"/>
      <c r="I48" s="29">
        <f>80*0.5*0.9</f>
        <v>36</v>
      </c>
      <c r="J48" s="29"/>
      <c r="K48" s="66"/>
      <c r="L48" s="66"/>
      <c r="M48" s="66"/>
      <c r="N48" s="66"/>
      <c r="O48" s="124">
        <f t="shared" si="2"/>
        <v>50.4</v>
      </c>
      <c r="P48" s="124"/>
      <c r="Q48" s="28"/>
      <c r="R48" s="7">
        <f t="shared" si="3"/>
        <v>3.78</v>
      </c>
    </row>
    <row r="49" spans="1:18" x14ac:dyDescent="0.25">
      <c r="A49" s="67">
        <v>16</v>
      </c>
      <c r="B49" s="2" t="s">
        <v>437</v>
      </c>
      <c r="C49" s="6"/>
      <c r="D49" s="6"/>
      <c r="E49" s="6"/>
      <c r="F49" s="29"/>
      <c r="G49" s="29"/>
      <c r="H49" s="29"/>
      <c r="I49" s="29"/>
      <c r="J49" s="29"/>
      <c r="K49" s="66"/>
      <c r="L49" s="66"/>
      <c r="M49" s="66"/>
      <c r="N49" s="66"/>
      <c r="O49" s="124">
        <f t="shared" si="2"/>
        <v>0</v>
      </c>
      <c r="P49" s="124"/>
      <c r="Q49" s="28"/>
      <c r="R49" s="7">
        <f t="shared" si="3"/>
        <v>0</v>
      </c>
    </row>
    <row r="50" spans="1:18" x14ac:dyDescent="0.25">
      <c r="A50" s="67">
        <v>17</v>
      </c>
      <c r="B50" s="2" t="s">
        <v>438</v>
      </c>
      <c r="C50" s="6"/>
      <c r="D50" s="6"/>
      <c r="E50" s="6"/>
      <c r="F50" s="29">
        <f>20*1*0.6</f>
        <v>12</v>
      </c>
      <c r="G50" s="29"/>
      <c r="H50" s="29"/>
      <c r="I50" s="29">
        <f>80*0.3*0.6</f>
        <v>14.399999999999999</v>
      </c>
      <c r="J50" s="29"/>
      <c r="K50" s="66"/>
      <c r="L50" s="66"/>
      <c r="M50" s="66"/>
      <c r="N50" s="66"/>
      <c r="O50" s="124">
        <f t="shared" si="2"/>
        <v>26.4</v>
      </c>
      <c r="P50" s="124"/>
      <c r="Q50" s="28"/>
      <c r="R50" s="7">
        <f t="shared" si="3"/>
        <v>1.98</v>
      </c>
    </row>
    <row r="51" spans="1:18" x14ac:dyDescent="0.25">
      <c r="A51" s="67">
        <v>18</v>
      </c>
      <c r="B51" s="2" t="s">
        <v>439</v>
      </c>
      <c r="C51" s="6"/>
      <c r="D51" s="6"/>
      <c r="E51" s="6"/>
      <c r="F51" s="29"/>
      <c r="G51" s="29"/>
      <c r="H51" s="29"/>
      <c r="I51" s="29"/>
      <c r="J51" s="29"/>
      <c r="K51" s="66"/>
      <c r="L51" s="66"/>
      <c r="M51" s="66"/>
      <c r="N51" s="66"/>
      <c r="O51" s="124">
        <f t="shared" si="2"/>
        <v>0</v>
      </c>
      <c r="P51" s="124"/>
      <c r="Q51" s="28"/>
      <c r="R51" s="7">
        <f t="shared" si="3"/>
        <v>0</v>
      </c>
    </row>
    <row r="52" spans="1:18" x14ac:dyDescent="0.25">
      <c r="A52" s="67">
        <v>19</v>
      </c>
      <c r="B52" s="2" t="s">
        <v>440</v>
      </c>
      <c r="C52" s="6"/>
      <c r="D52" s="6"/>
      <c r="E52" s="6"/>
      <c r="F52" s="29"/>
      <c r="G52" s="29"/>
      <c r="H52" s="29"/>
      <c r="I52" s="29"/>
      <c r="J52" s="29"/>
      <c r="K52" s="66"/>
      <c r="L52" s="66"/>
      <c r="M52" s="66"/>
      <c r="N52" s="66"/>
      <c r="O52" s="124">
        <f t="shared" si="2"/>
        <v>0</v>
      </c>
      <c r="P52" s="124"/>
      <c r="Q52" s="28"/>
      <c r="R52" s="7">
        <f t="shared" si="3"/>
        <v>0</v>
      </c>
    </row>
    <row r="53" spans="1:18" x14ac:dyDescent="0.25">
      <c r="A53" s="67">
        <v>20</v>
      </c>
      <c r="B53" s="2" t="s">
        <v>441</v>
      </c>
      <c r="C53" s="6"/>
      <c r="D53" s="6"/>
      <c r="E53" s="6"/>
      <c r="F53" s="29"/>
      <c r="G53" s="29"/>
      <c r="H53" s="29"/>
      <c r="I53" s="29"/>
      <c r="J53" s="29"/>
      <c r="K53" s="66"/>
      <c r="L53" s="66"/>
      <c r="M53" s="66"/>
      <c r="N53" s="66"/>
      <c r="O53" s="124">
        <f t="shared" si="2"/>
        <v>0</v>
      </c>
      <c r="P53" s="124"/>
      <c r="Q53" s="28"/>
      <c r="R53" s="7">
        <f t="shared" si="3"/>
        <v>0</v>
      </c>
    </row>
    <row r="54" spans="1:18" x14ac:dyDescent="0.25">
      <c r="A54" s="67">
        <v>21</v>
      </c>
      <c r="B54" s="2" t="s">
        <v>442</v>
      </c>
      <c r="C54" s="6"/>
      <c r="D54" s="6"/>
      <c r="E54" s="6"/>
      <c r="F54" s="29"/>
      <c r="G54" s="29"/>
      <c r="H54" s="29"/>
      <c r="I54" s="29"/>
      <c r="J54" s="29"/>
      <c r="K54" s="66"/>
      <c r="L54" s="66"/>
      <c r="M54" s="66"/>
      <c r="N54" s="66"/>
      <c r="O54" s="124">
        <f t="shared" si="2"/>
        <v>0</v>
      </c>
      <c r="P54" s="124"/>
      <c r="Q54" s="28"/>
      <c r="R54" s="7">
        <f t="shared" si="3"/>
        <v>0</v>
      </c>
    </row>
    <row r="55" spans="1:18" x14ac:dyDescent="0.25">
      <c r="A55" s="67">
        <v>22</v>
      </c>
      <c r="B55" s="2" t="s">
        <v>443</v>
      </c>
      <c r="C55" s="6"/>
      <c r="D55" s="6"/>
      <c r="E55" s="6">
        <f>30*0.5*1</f>
        <v>15</v>
      </c>
      <c r="F55" s="29"/>
      <c r="G55" s="29">
        <f>150*0.7*0.6+5</f>
        <v>68</v>
      </c>
      <c r="H55" s="29"/>
      <c r="I55" s="29"/>
      <c r="J55" s="29"/>
      <c r="K55" s="66"/>
      <c r="L55" s="66"/>
      <c r="M55" s="66"/>
      <c r="N55" s="66"/>
      <c r="O55" s="124">
        <f t="shared" si="2"/>
        <v>83</v>
      </c>
      <c r="P55" s="124"/>
      <c r="Q55" s="28"/>
      <c r="R55" s="7">
        <f t="shared" si="3"/>
        <v>6.0642857142857141</v>
      </c>
    </row>
    <row r="56" spans="1:18" x14ac:dyDescent="0.25">
      <c r="A56" s="67">
        <v>23</v>
      </c>
      <c r="B56" s="2" t="s">
        <v>444</v>
      </c>
      <c r="C56" s="6"/>
      <c r="D56" s="6"/>
      <c r="E56" s="6"/>
      <c r="F56" s="29"/>
      <c r="G56" s="29"/>
      <c r="H56" s="29"/>
      <c r="I56" s="29"/>
      <c r="J56" s="29"/>
      <c r="K56" s="66"/>
      <c r="L56" s="66"/>
      <c r="M56" s="66"/>
      <c r="N56" s="66"/>
      <c r="O56" s="124">
        <f t="shared" si="2"/>
        <v>0</v>
      </c>
      <c r="P56" s="124"/>
      <c r="Q56" s="28"/>
      <c r="R56" s="7">
        <f t="shared" si="3"/>
        <v>0</v>
      </c>
    </row>
    <row r="57" spans="1:18" x14ac:dyDescent="0.25">
      <c r="A57" s="67">
        <v>24</v>
      </c>
      <c r="B57" s="2" t="s">
        <v>445</v>
      </c>
      <c r="C57" s="6"/>
      <c r="D57" s="6"/>
      <c r="E57" s="6"/>
      <c r="F57" s="29"/>
      <c r="G57" s="29"/>
      <c r="H57" s="29"/>
      <c r="I57" s="29"/>
      <c r="J57" s="29"/>
      <c r="K57" s="66"/>
      <c r="L57" s="66"/>
      <c r="M57" s="66"/>
      <c r="N57" s="66"/>
      <c r="O57" s="124">
        <f t="shared" si="2"/>
        <v>0</v>
      </c>
      <c r="P57" s="124"/>
      <c r="Q57" s="28"/>
      <c r="R57" s="7">
        <f t="shared" si="3"/>
        <v>0</v>
      </c>
    </row>
    <row r="58" spans="1:18" x14ac:dyDescent="0.25">
      <c r="A58" s="67">
        <v>25</v>
      </c>
      <c r="B58" s="2" t="s">
        <v>446</v>
      </c>
      <c r="C58" s="6"/>
      <c r="D58" s="6"/>
      <c r="E58" s="6"/>
      <c r="F58" s="29"/>
      <c r="G58" s="29"/>
      <c r="H58" s="29"/>
      <c r="I58" s="29"/>
      <c r="J58" s="29"/>
      <c r="K58" s="66"/>
      <c r="L58" s="66"/>
      <c r="M58" s="66"/>
      <c r="N58" s="66"/>
      <c r="O58" s="124">
        <f t="shared" si="2"/>
        <v>0</v>
      </c>
      <c r="P58" s="124"/>
      <c r="Q58" s="28"/>
      <c r="R58" s="7">
        <f t="shared" si="3"/>
        <v>0</v>
      </c>
    </row>
    <row r="59" spans="1:18" x14ac:dyDescent="0.25">
      <c r="A59" s="67">
        <v>26</v>
      </c>
      <c r="B59" s="2" t="s">
        <v>447</v>
      </c>
      <c r="C59" s="6"/>
      <c r="D59" s="6"/>
      <c r="E59" s="6"/>
      <c r="F59" s="29"/>
      <c r="G59" s="29"/>
      <c r="H59" s="29"/>
      <c r="I59" s="29"/>
      <c r="J59" s="29"/>
      <c r="K59" s="66"/>
      <c r="L59" s="66"/>
      <c r="M59" s="66"/>
      <c r="N59" s="66"/>
      <c r="O59" s="124">
        <f t="shared" si="2"/>
        <v>0</v>
      </c>
      <c r="P59" s="124"/>
      <c r="Q59" s="28"/>
      <c r="R59" s="7">
        <f t="shared" si="3"/>
        <v>0</v>
      </c>
    </row>
    <row r="60" spans="1:18" x14ac:dyDescent="0.25">
      <c r="A60" s="67">
        <v>27</v>
      </c>
      <c r="B60" s="2" t="s">
        <v>448</v>
      </c>
      <c r="C60" s="6"/>
      <c r="D60" s="6"/>
      <c r="E60" s="6"/>
      <c r="F60" s="29"/>
      <c r="G60" s="29"/>
      <c r="H60" s="29"/>
      <c r="I60" s="29">
        <f>80*0.65*1.1</f>
        <v>57.2</v>
      </c>
      <c r="J60" s="29"/>
      <c r="K60" s="66"/>
      <c r="L60" s="66"/>
      <c r="M60" s="66"/>
      <c r="N60" s="66"/>
      <c r="O60" s="124">
        <f t="shared" si="2"/>
        <v>57.2</v>
      </c>
      <c r="P60" s="124"/>
      <c r="Q60" s="28"/>
      <c r="R60" s="7">
        <f t="shared" si="3"/>
        <v>4.29</v>
      </c>
    </row>
    <row r="61" spans="1:18" x14ac:dyDescent="0.25">
      <c r="A61" s="67">
        <v>28</v>
      </c>
      <c r="B61" s="124" t="s">
        <v>553</v>
      </c>
      <c r="C61" s="6"/>
      <c r="D61" s="6"/>
      <c r="E61" s="6"/>
      <c r="F61" s="29"/>
      <c r="G61" s="29"/>
      <c r="H61" s="29"/>
      <c r="I61" s="29"/>
      <c r="J61" s="29"/>
      <c r="K61" s="66"/>
      <c r="L61" s="66"/>
      <c r="M61" s="66"/>
      <c r="N61" s="66"/>
      <c r="O61" s="124">
        <f t="shared" si="2"/>
        <v>0</v>
      </c>
      <c r="P61" s="124"/>
      <c r="Q61" s="28"/>
      <c r="R61" s="7">
        <f t="shared" si="3"/>
        <v>0</v>
      </c>
    </row>
    <row r="62" spans="1:18" x14ac:dyDescent="0.25">
      <c r="A62" s="67">
        <v>29</v>
      </c>
      <c r="B62" s="124"/>
      <c r="C62" s="6"/>
      <c r="D62" s="6"/>
      <c r="E62" s="6"/>
      <c r="F62" s="29"/>
      <c r="G62" s="29"/>
      <c r="H62" s="29"/>
      <c r="I62" s="29"/>
      <c r="J62" s="29"/>
      <c r="K62" s="66"/>
      <c r="L62" s="66"/>
      <c r="M62" s="66"/>
      <c r="N62" s="66"/>
      <c r="O62" s="124">
        <f t="shared" si="2"/>
        <v>0</v>
      </c>
      <c r="P62" s="124"/>
      <c r="Q62" s="28"/>
      <c r="R62" s="7">
        <f t="shared" si="3"/>
        <v>0</v>
      </c>
    </row>
    <row r="63" spans="1:18" x14ac:dyDescent="0.25">
      <c r="A63" s="67">
        <v>30</v>
      </c>
      <c r="B63" s="124"/>
      <c r="C63" s="6"/>
      <c r="D63" s="6"/>
      <c r="E63" s="6"/>
      <c r="F63" s="29"/>
      <c r="G63" s="29"/>
      <c r="H63" s="29"/>
      <c r="I63" s="29"/>
      <c r="J63" s="29"/>
      <c r="K63" s="66"/>
      <c r="L63" s="66"/>
      <c r="M63" s="66"/>
      <c r="N63" s="66"/>
      <c r="O63" s="124">
        <f t="shared" si="2"/>
        <v>0</v>
      </c>
      <c r="P63" s="124"/>
      <c r="Q63" s="28"/>
      <c r="R63" s="7">
        <f t="shared" si="3"/>
        <v>0</v>
      </c>
    </row>
    <row r="64" spans="1:18" x14ac:dyDescent="0.25">
      <c r="B64" s="1" t="s">
        <v>18</v>
      </c>
      <c r="C64">
        <v>10</v>
      </c>
      <c r="D64">
        <v>20</v>
      </c>
      <c r="E64">
        <v>30</v>
      </c>
      <c r="F64">
        <v>20</v>
      </c>
      <c r="G64">
        <v>150</v>
      </c>
      <c r="H64">
        <v>20</v>
      </c>
      <c r="I64">
        <v>80</v>
      </c>
      <c r="J64">
        <v>150</v>
      </c>
      <c r="K64">
        <v>100</v>
      </c>
      <c r="L64">
        <v>120</v>
      </c>
      <c r="Q64" s="22">
        <v>0.6</v>
      </c>
    </row>
    <row r="65" spans="2:17" x14ac:dyDescent="0.25">
      <c r="P65" t="s">
        <v>48</v>
      </c>
      <c r="Q65" s="27">
        <v>0.2</v>
      </c>
    </row>
    <row r="68" spans="2:17" x14ac:dyDescent="0.25">
      <c r="C68" t="s">
        <v>16</v>
      </c>
      <c r="D68" t="s">
        <v>17</v>
      </c>
      <c r="O68" s="11"/>
    </row>
    <row r="69" spans="2:17" x14ac:dyDescent="0.25">
      <c r="B69" t="s">
        <v>13</v>
      </c>
      <c r="C69">
        <v>300</v>
      </c>
      <c r="D69">
        <f>D71*1.5</f>
        <v>9</v>
      </c>
      <c r="O69" s="12"/>
    </row>
    <row r="70" spans="2:17" x14ac:dyDescent="0.25">
      <c r="B70" t="s">
        <v>14</v>
      </c>
      <c r="C70">
        <v>150</v>
      </c>
      <c r="D70">
        <f>(D69-D71)*0.5+D71</f>
        <v>7.5</v>
      </c>
    </row>
    <row r="71" spans="2:17" x14ac:dyDescent="0.25">
      <c r="B71" t="s">
        <v>15</v>
      </c>
      <c r="C71">
        <v>80</v>
      </c>
      <c r="D71">
        <v>6</v>
      </c>
    </row>
    <row r="73" spans="2:17" ht="15.75" x14ac:dyDescent="0.3">
      <c r="B73" s="134" t="s">
        <v>157</v>
      </c>
    </row>
    <row r="74" spans="2:17" ht="15.75" x14ac:dyDescent="0.3">
      <c r="B74" s="134" t="s">
        <v>159</v>
      </c>
    </row>
    <row r="75" spans="2:17" ht="15.75" x14ac:dyDescent="0.3">
      <c r="B75" s="134" t="s">
        <v>580</v>
      </c>
    </row>
    <row r="76" spans="2:17" ht="15.75" x14ac:dyDescent="0.3">
      <c r="B76" s="134" t="s">
        <v>581</v>
      </c>
    </row>
    <row r="77" spans="2:17" ht="15.75" x14ac:dyDescent="0.3">
      <c r="B77" s="134" t="s">
        <v>582</v>
      </c>
    </row>
    <row r="78" spans="2:17" ht="15.75" x14ac:dyDescent="0.3">
      <c r="B78" s="134" t="s">
        <v>583</v>
      </c>
    </row>
    <row r="79" spans="2:17" ht="15.75" x14ac:dyDescent="0.3">
      <c r="B79" s="134" t="s">
        <v>584</v>
      </c>
    </row>
    <row r="80" spans="2:17" ht="15.75" x14ac:dyDescent="0.3">
      <c r="B80" s="134" t="s">
        <v>585</v>
      </c>
    </row>
    <row r="82" spans="2:2" ht="15.75" x14ac:dyDescent="0.3">
      <c r="B82" s="134" t="s">
        <v>159</v>
      </c>
    </row>
    <row r="83" spans="2:2" ht="15.75" x14ac:dyDescent="0.3">
      <c r="B83" s="134" t="s">
        <v>586</v>
      </c>
    </row>
    <row r="84" spans="2:2" ht="15.75" x14ac:dyDescent="0.3">
      <c r="B84" s="134" t="s">
        <v>587</v>
      </c>
    </row>
    <row r="85" spans="2:2" ht="15.75" x14ac:dyDescent="0.3">
      <c r="B85" s="134" t="s">
        <v>588</v>
      </c>
    </row>
    <row r="86" spans="2:2" ht="15.75" x14ac:dyDescent="0.3">
      <c r="B86" s="134" t="s">
        <v>589</v>
      </c>
    </row>
    <row r="87" spans="2:2" ht="15.75" x14ac:dyDescent="0.3">
      <c r="B87" s="134" t="s">
        <v>590</v>
      </c>
    </row>
    <row r="88" spans="2:2" ht="15.75" x14ac:dyDescent="0.3">
      <c r="B88" s="134" t="s">
        <v>591</v>
      </c>
    </row>
  </sheetData>
  <conditionalFormatting sqref="R34:R63 R3:R32">
    <cfRule type="colorScale" priority="1">
      <colorScale>
        <cfvo type="num" val="0"/>
        <cfvo type="num" val="$D$71"/>
        <cfvo type="num" val="$D$69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BK104"/>
  <sheetViews>
    <sheetView zoomScale="85" zoomScaleNormal="85" workbookViewId="0">
      <pane xSplit="2" ySplit="2" topLeftCell="AA3" activePane="bottomRight" state="frozen"/>
      <selection pane="topRight" activeCell="E1" sqref="E1"/>
      <selection pane="bottomLeft" activeCell="A3" sqref="A3"/>
      <selection pane="bottomRight" activeCell="AH56" activeCellId="1" sqref="AH50 AH56"/>
    </sheetView>
  </sheetViews>
  <sheetFormatPr defaultRowHeight="15" x14ac:dyDescent="0.25"/>
  <cols>
    <col min="1" max="1" width="4.5703125" customWidth="1"/>
    <col min="2" max="2" width="41.7109375" bestFit="1" customWidth="1"/>
    <col min="3" max="5" width="10.85546875" bestFit="1" customWidth="1"/>
    <col min="6" max="6" width="10.85546875" customWidth="1"/>
    <col min="7" max="7" width="10.85546875" bestFit="1" customWidth="1"/>
    <col min="8" max="8" width="12.28515625" bestFit="1" customWidth="1"/>
    <col min="9" max="10" width="10.85546875" bestFit="1" customWidth="1"/>
    <col min="11" max="11" width="10.7109375" bestFit="1" customWidth="1"/>
    <col min="12" max="14" width="10.7109375" style="24" bestFit="1" customWidth="1"/>
    <col min="15" max="15" width="16" style="24" customWidth="1"/>
    <col min="16" max="16" width="10.7109375" style="24" bestFit="1" customWidth="1"/>
    <col min="17" max="18" width="11.5703125" style="24" customWidth="1"/>
    <col min="19" max="19" width="10.7109375" style="24" bestFit="1" customWidth="1"/>
    <col min="20" max="22" width="10.85546875" style="24" bestFit="1" customWidth="1"/>
    <col min="23" max="24" width="13.42578125" style="24" customWidth="1"/>
    <col min="25" max="26" width="11.42578125" style="24" customWidth="1"/>
    <col min="27" max="29" width="10.85546875" style="24" bestFit="1" customWidth="1"/>
    <col min="30" max="30" width="10.85546875" style="24" customWidth="1"/>
    <col min="31" max="31" width="10.85546875" style="24" bestFit="1" customWidth="1"/>
    <col min="32" max="34" width="10.85546875" bestFit="1" customWidth="1"/>
    <col min="35" max="35" width="13.28515625" bestFit="1" customWidth="1"/>
    <col min="36" max="37" width="10.85546875" bestFit="1" customWidth="1"/>
    <col min="38" max="46" width="12.5703125" style="24" customWidth="1"/>
    <col min="47" max="56" width="12.5703125" customWidth="1"/>
    <col min="57" max="57" width="13.5703125" style="24" customWidth="1"/>
    <col min="58" max="58" width="11" customWidth="1"/>
    <col min="59" max="60" width="12.7109375" customWidth="1"/>
  </cols>
  <sheetData>
    <row r="1" spans="1:63" ht="15" customHeight="1" x14ac:dyDescent="0.25">
      <c r="A1" t="s">
        <v>22</v>
      </c>
      <c r="B1" t="s">
        <v>2</v>
      </c>
      <c r="C1" s="83" t="s">
        <v>24</v>
      </c>
      <c r="D1" s="85" t="s">
        <v>23</v>
      </c>
      <c r="E1" s="83" t="s">
        <v>24</v>
      </c>
      <c r="F1" s="85" t="s">
        <v>23</v>
      </c>
      <c r="G1" s="83" t="s">
        <v>24</v>
      </c>
      <c r="H1" s="85" t="s">
        <v>23</v>
      </c>
      <c r="I1" s="83" t="s">
        <v>24</v>
      </c>
      <c r="J1" s="85" t="s">
        <v>23</v>
      </c>
      <c r="K1" s="83" t="s">
        <v>24</v>
      </c>
      <c r="L1" s="85" t="s">
        <v>23</v>
      </c>
      <c r="M1" s="83" t="s">
        <v>24</v>
      </c>
      <c r="N1" s="85" t="s">
        <v>23</v>
      </c>
      <c r="O1" s="83" t="s">
        <v>24</v>
      </c>
      <c r="P1" s="85" t="s">
        <v>23</v>
      </c>
      <c r="Q1" s="83" t="s">
        <v>24</v>
      </c>
      <c r="R1" s="85" t="s">
        <v>23</v>
      </c>
      <c r="S1" s="83" t="s">
        <v>24</v>
      </c>
      <c r="T1" s="85" t="s">
        <v>23</v>
      </c>
      <c r="U1" s="83" t="s">
        <v>24</v>
      </c>
      <c r="V1" s="85" t="s">
        <v>23</v>
      </c>
      <c r="W1" s="83" t="s">
        <v>24</v>
      </c>
      <c r="X1" s="85" t="s">
        <v>23</v>
      </c>
      <c r="Y1" s="83" t="s">
        <v>24</v>
      </c>
      <c r="Z1" s="85" t="s">
        <v>23</v>
      </c>
      <c r="AA1" s="83" t="s">
        <v>24</v>
      </c>
      <c r="AB1" s="85" t="s">
        <v>23</v>
      </c>
      <c r="AC1" s="83" t="s">
        <v>26</v>
      </c>
      <c r="AD1" s="85" t="s">
        <v>23</v>
      </c>
      <c r="AE1" s="83" t="s">
        <v>26</v>
      </c>
      <c r="AF1" s="85" t="s">
        <v>25</v>
      </c>
      <c r="AG1" s="83" t="s">
        <v>26</v>
      </c>
      <c r="AH1" s="85" t="s">
        <v>25</v>
      </c>
      <c r="AI1" s="85" t="s">
        <v>25</v>
      </c>
      <c r="AJ1" s="83" t="s">
        <v>26</v>
      </c>
      <c r="AK1" s="85" t="s">
        <v>25</v>
      </c>
      <c r="AL1" s="85" t="s">
        <v>25</v>
      </c>
      <c r="AM1" s="83" t="s">
        <v>26</v>
      </c>
      <c r="AN1" s="85" t="s">
        <v>25</v>
      </c>
      <c r="AO1" s="83" t="s">
        <v>26</v>
      </c>
      <c r="AP1" s="85" t="s">
        <v>25</v>
      </c>
      <c r="AQ1" s="85" t="s">
        <v>25</v>
      </c>
      <c r="AR1" s="83" t="s">
        <v>26</v>
      </c>
      <c r="AS1" s="87" t="s">
        <v>185</v>
      </c>
      <c r="AT1" s="85" t="s">
        <v>25</v>
      </c>
      <c r="AU1" s="83" t="s">
        <v>26</v>
      </c>
      <c r="AV1" s="87" t="s">
        <v>185</v>
      </c>
      <c r="AW1" s="85" t="s">
        <v>25</v>
      </c>
      <c r="AX1" s="83" t="s">
        <v>26</v>
      </c>
      <c r="AY1" s="85" t="s">
        <v>25</v>
      </c>
      <c r="AZ1" s="85" t="s">
        <v>25</v>
      </c>
      <c r="BA1" s="85" t="s">
        <v>244</v>
      </c>
      <c r="BB1" s="85" t="s">
        <v>244</v>
      </c>
      <c r="BC1" s="85" t="s">
        <v>244</v>
      </c>
      <c r="BE1" s="36" t="s">
        <v>25</v>
      </c>
      <c r="BF1" s="23" t="s">
        <v>22</v>
      </c>
      <c r="BG1" s="23" t="s">
        <v>22</v>
      </c>
      <c r="BH1" s="23"/>
      <c r="BI1" s="1" t="s">
        <v>22</v>
      </c>
      <c r="BJ1" t="s">
        <v>22</v>
      </c>
      <c r="BK1" t="s">
        <v>50</v>
      </c>
    </row>
    <row r="2" spans="1:63" ht="30" x14ac:dyDescent="0.25">
      <c r="A2" s="67"/>
      <c r="B2" s="65" t="s">
        <v>20</v>
      </c>
      <c r="C2" s="84">
        <v>42621</v>
      </c>
      <c r="D2" s="86">
        <v>42627</v>
      </c>
      <c r="E2" s="84">
        <v>42628</v>
      </c>
      <c r="F2" s="86">
        <v>42634</v>
      </c>
      <c r="G2" s="84">
        <v>42635</v>
      </c>
      <c r="H2" s="86">
        <v>42641</v>
      </c>
      <c r="I2" s="84">
        <v>42642</v>
      </c>
      <c r="J2" s="86">
        <v>42648</v>
      </c>
      <c r="K2" s="84">
        <v>42649</v>
      </c>
      <c r="L2" s="86">
        <v>42655</v>
      </c>
      <c r="M2" s="84">
        <v>42656</v>
      </c>
      <c r="N2" s="86">
        <v>42662</v>
      </c>
      <c r="O2" s="84">
        <v>42663</v>
      </c>
      <c r="P2" s="86">
        <v>42669</v>
      </c>
      <c r="Q2" s="84">
        <v>42670</v>
      </c>
      <c r="R2" s="86">
        <v>42676</v>
      </c>
      <c r="S2" s="84">
        <v>42677</v>
      </c>
      <c r="T2" s="86">
        <v>42683</v>
      </c>
      <c r="U2" s="84">
        <v>42684</v>
      </c>
      <c r="V2" s="86">
        <v>42690</v>
      </c>
      <c r="W2" s="84">
        <v>42691</v>
      </c>
      <c r="X2" s="86">
        <v>42697</v>
      </c>
      <c r="Y2" s="84">
        <v>42698</v>
      </c>
      <c r="Z2" s="86">
        <v>42704</v>
      </c>
      <c r="AA2" s="84">
        <v>42705</v>
      </c>
      <c r="AB2" s="86">
        <v>42711</v>
      </c>
      <c r="AC2" s="84">
        <v>42712</v>
      </c>
      <c r="AD2" s="86">
        <v>42718</v>
      </c>
      <c r="AE2" s="84">
        <v>42719</v>
      </c>
      <c r="AF2" s="86">
        <v>42725</v>
      </c>
      <c r="AG2" s="84">
        <v>42726</v>
      </c>
      <c r="AH2" s="86">
        <v>42732</v>
      </c>
      <c r="AI2" s="86">
        <v>42494</v>
      </c>
      <c r="AJ2" s="84">
        <v>42494</v>
      </c>
      <c r="AK2" s="86">
        <v>42495</v>
      </c>
      <c r="AL2" s="86">
        <v>42501</v>
      </c>
      <c r="AM2" s="84">
        <v>42501</v>
      </c>
      <c r="AN2" s="86">
        <v>42508</v>
      </c>
      <c r="AO2" s="84">
        <v>42508</v>
      </c>
      <c r="AP2" s="86">
        <v>42509</v>
      </c>
      <c r="AQ2" s="86">
        <v>42515</v>
      </c>
      <c r="AR2" s="84">
        <v>41782</v>
      </c>
      <c r="AS2" s="88">
        <v>41785</v>
      </c>
      <c r="AT2" s="86">
        <v>41786</v>
      </c>
      <c r="AU2" s="84">
        <v>41789</v>
      </c>
      <c r="AV2" s="88">
        <v>41792</v>
      </c>
      <c r="AW2" s="86">
        <v>41793</v>
      </c>
      <c r="AX2" s="84">
        <v>41796</v>
      </c>
      <c r="AY2" s="86">
        <v>41799</v>
      </c>
      <c r="AZ2" s="86">
        <v>41800</v>
      </c>
      <c r="BA2" s="86">
        <v>41807</v>
      </c>
      <c r="BB2" s="86">
        <v>41815</v>
      </c>
      <c r="BC2" s="86">
        <v>41822</v>
      </c>
      <c r="BE2" s="32"/>
      <c r="BF2" s="33" t="s">
        <v>42</v>
      </c>
      <c r="BG2" s="33" t="s">
        <v>43</v>
      </c>
      <c r="BH2" s="79" t="s">
        <v>223</v>
      </c>
      <c r="BI2" s="4" t="s">
        <v>44</v>
      </c>
      <c r="BJ2" s="3" t="s">
        <v>16</v>
      </c>
      <c r="BK2" t="s">
        <v>50</v>
      </c>
    </row>
    <row r="3" spans="1:63" x14ac:dyDescent="0.25">
      <c r="A3" s="67">
        <v>1</v>
      </c>
      <c r="B3" s="2" t="s">
        <v>466</v>
      </c>
      <c r="C3" s="126">
        <v>1</v>
      </c>
      <c r="D3" s="135" t="s">
        <v>511</v>
      </c>
      <c r="E3" s="126">
        <v>1</v>
      </c>
      <c r="F3" s="126">
        <v>1</v>
      </c>
      <c r="G3" s="126">
        <v>1</v>
      </c>
      <c r="H3" s="135" t="s">
        <v>525</v>
      </c>
      <c r="I3" s="126">
        <v>1</v>
      </c>
      <c r="J3" s="126">
        <v>1</v>
      </c>
      <c r="K3" s="126">
        <v>1</v>
      </c>
      <c r="L3" s="126">
        <v>1</v>
      </c>
      <c r="M3" s="126">
        <v>1</v>
      </c>
      <c r="N3" s="127">
        <v>0</v>
      </c>
      <c r="O3" s="126">
        <v>1</v>
      </c>
      <c r="P3" s="126">
        <v>1</v>
      </c>
      <c r="Q3" s="126">
        <v>1</v>
      </c>
      <c r="R3" s="126">
        <v>1</v>
      </c>
      <c r="S3" s="126">
        <v>1</v>
      </c>
      <c r="T3" s="125">
        <v>-2</v>
      </c>
      <c r="U3" s="126">
        <v>1</v>
      </c>
      <c r="V3" s="127">
        <v>0</v>
      </c>
      <c r="W3" s="126">
        <v>1</v>
      </c>
      <c r="X3" s="125">
        <v>-2</v>
      </c>
      <c r="Y3" s="126">
        <v>1</v>
      </c>
      <c r="Z3" s="126">
        <v>1</v>
      </c>
      <c r="AA3" s="126">
        <v>1</v>
      </c>
      <c r="AB3" s="126">
        <v>1</v>
      </c>
      <c r="AC3" s="126">
        <v>1</v>
      </c>
      <c r="AD3" s="127">
        <v>0</v>
      </c>
      <c r="AE3" s="126">
        <v>1</v>
      </c>
      <c r="AF3" s="127">
        <v>0</v>
      </c>
      <c r="AG3" s="126">
        <v>1</v>
      </c>
      <c r="AH3" s="126">
        <v>1</v>
      </c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  <c r="AV3" s="119"/>
      <c r="AW3" s="119"/>
      <c r="AX3" s="119"/>
      <c r="AY3" s="119"/>
      <c r="AZ3" s="119"/>
      <c r="BA3" s="24"/>
      <c r="BB3" s="24"/>
      <c r="BC3" s="24"/>
      <c r="BD3" s="24"/>
      <c r="BE3" s="67"/>
      <c r="BF3" s="124">
        <f>CalculatePresence(C3:BE3)</f>
        <v>30</v>
      </c>
      <c r="BG3" s="34">
        <f>CalculateAbsence(C3:BE3)</f>
        <v>2</v>
      </c>
      <c r="BH3" s="34">
        <f t="shared" ref="BH3:BH32" si="0">BF3+BG3</f>
        <v>32</v>
      </c>
      <c r="BI3" s="35">
        <f t="shared" ref="BI3:BI32" si="1">BF3/(IF(BH3&gt;0,BH3,1))</f>
        <v>0.9375</v>
      </c>
      <c r="BJ3" s="124">
        <f t="shared" ref="BJ3:BJ32" si="2">SUM(C3:BE3)*0.1</f>
        <v>2</v>
      </c>
    </row>
    <row r="4" spans="1:63" x14ac:dyDescent="0.25">
      <c r="A4" s="67">
        <v>2</v>
      </c>
      <c r="B4" s="2" t="s">
        <v>478</v>
      </c>
      <c r="C4" s="126">
        <v>1</v>
      </c>
      <c r="D4" s="127">
        <v>0</v>
      </c>
      <c r="E4" s="126">
        <v>1</v>
      </c>
      <c r="F4" s="125">
        <v>-2</v>
      </c>
      <c r="G4" s="125">
        <v>-2</v>
      </c>
      <c r="H4" s="127">
        <v>0</v>
      </c>
      <c r="I4" s="126">
        <v>1</v>
      </c>
      <c r="J4" s="125">
        <v>-2</v>
      </c>
      <c r="K4" s="125">
        <v>-2</v>
      </c>
      <c r="L4" s="127">
        <v>0</v>
      </c>
      <c r="M4" s="125">
        <v>-2</v>
      </c>
      <c r="N4" s="127">
        <v>0</v>
      </c>
      <c r="O4" s="126">
        <v>1</v>
      </c>
      <c r="P4" s="125">
        <v>-2</v>
      </c>
      <c r="Q4" s="126">
        <v>1</v>
      </c>
      <c r="R4" s="125">
        <v>-2</v>
      </c>
      <c r="S4" s="126">
        <v>1</v>
      </c>
      <c r="T4" s="125">
        <v>-2</v>
      </c>
      <c r="U4" s="126">
        <v>1</v>
      </c>
      <c r="V4" s="126">
        <v>1</v>
      </c>
      <c r="W4" s="126">
        <v>1</v>
      </c>
      <c r="X4" s="126">
        <v>1</v>
      </c>
      <c r="Y4" s="126">
        <v>1</v>
      </c>
      <c r="Z4" s="126">
        <v>1</v>
      </c>
      <c r="AA4" s="126">
        <v>1</v>
      </c>
      <c r="AB4" s="126">
        <v>1</v>
      </c>
      <c r="AC4" s="126">
        <v>1</v>
      </c>
      <c r="AD4" s="126">
        <v>1</v>
      </c>
      <c r="AE4" s="126">
        <v>1</v>
      </c>
      <c r="AF4" s="126">
        <v>1</v>
      </c>
      <c r="AG4" s="126">
        <v>1</v>
      </c>
      <c r="AH4" s="126">
        <v>1</v>
      </c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24"/>
      <c r="BB4" s="24"/>
      <c r="BC4" s="24"/>
      <c r="BD4" s="24"/>
      <c r="BE4" s="67"/>
      <c r="BF4" s="124">
        <f t="shared" ref="BF4:BF32" si="3">CalculatePresence(C4:BE4)</f>
        <v>24</v>
      </c>
      <c r="BG4" s="34">
        <f t="shared" ref="BG4:BG32" si="4">CalculateAbsence(C4:BE4)</f>
        <v>8</v>
      </c>
      <c r="BH4" s="34">
        <f t="shared" si="0"/>
        <v>32</v>
      </c>
      <c r="BI4" s="35">
        <f t="shared" si="1"/>
        <v>0.75</v>
      </c>
      <c r="BJ4" s="124">
        <f t="shared" si="2"/>
        <v>0.4</v>
      </c>
    </row>
    <row r="5" spans="1:63" x14ac:dyDescent="0.25">
      <c r="A5" s="67">
        <v>3</v>
      </c>
      <c r="B5" t="s">
        <v>449</v>
      </c>
      <c r="C5" s="126">
        <v>1</v>
      </c>
      <c r="D5" s="127">
        <v>0</v>
      </c>
      <c r="E5" s="126">
        <v>1</v>
      </c>
      <c r="F5" s="126">
        <v>1</v>
      </c>
      <c r="G5" s="126">
        <v>1</v>
      </c>
      <c r="H5" s="135" t="s">
        <v>525</v>
      </c>
      <c r="I5" s="126">
        <v>1</v>
      </c>
      <c r="J5" s="127">
        <v>0</v>
      </c>
      <c r="K5" s="126">
        <v>1</v>
      </c>
      <c r="L5" s="126">
        <v>1</v>
      </c>
      <c r="M5" s="126">
        <v>1</v>
      </c>
      <c r="N5" s="127">
        <v>0</v>
      </c>
      <c r="O5" s="126">
        <v>1</v>
      </c>
      <c r="P5" s="126">
        <v>1</v>
      </c>
      <c r="Q5" s="126">
        <v>1</v>
      </c>
      <c r="R5" s="126">
        <v>1</v>
      </c>
      <c r="S5" s="126">
        <v>1</v>
      </c>
      <c r="T5" s="126">
        <v>1</v>
      </c>
      <c r="U5" s="126">
        <v>1</v>
      </c>
      <c r="V5" s="126">
        <v>1</v>
      </c>
      <c r="W5" s="126">
        <v>1</v>
      </c>
      <c r="X5" s="126">
        <v>1</v>
      </c>
      <c r="Y5" s="126">
        <v>1</v>
      </c>
      <c r="Z5" s="126">
        <v>1</v>
      </c>
      <c r="AA5" s="126">
        <v>1</v>
      </c>
      <c r="AB5" s="127">
        <v>0</v>
      </c>
      <c r="AC5" s="126">
        <v>1</v>
      </c>
      <c r="AD5" s="126">
        <v>1</v>
      </c>
      <c r="AE5" s="126">
        <v>1</v>
      </c>
      <c r="AF5" s="126">
        <v>1</v>
      </c>
      <c r="AG5" s="126">
        <v>1</v>
      </c>
      <c r="AH5" s="126">
        <v>1</v>
      </c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24"/>
      <c r="BB5" s="24"/>
      <c r="BC5" s="24"/>
      <c r="BD5" s="24"/>
      <c r="BE5" s="67"/>
      <c r="BF5" s="3">
        <f>CalculatePresence(C5:BE5)</f>
        <v>32</v>
      </c>
      <c r="BG5" s="34">
        <f>CalculateAbsence(C5:BE5)</f>
        <v>0</v>
      </c>
      <c r="BH5" s="34">
        <f>BF5+BG5</f>
        <v>32</v>
      </c>
      <c r="BI5" s="35">
        <f>BF5/(IF(BH5&gt;0,BH5,1))</f>
        <v>1</v>
      </c>
      <c r="BJ5" s="3">
        <f>SUM(C5:BE5)*0.1</f>
        <v>2.7</v>
      </c>
      <c r="BK5" t="s">
        <v>50</v>
      </c>
    </row>
    <row r="6" spans="1:63" x14ac:dyDescent="0.25">
      <c r="A6" s="67">
        <v>4</v>
      </c>
      <c r="B6" s="2" t="s">
        <v>479</v>
      </c>
      <c r="C6" s="126">
        <v>1</v>
      </c>
      <c r="D6" s="127">
        <v>0</v>
      </c>
      <c r="E6" s="126">
        <v>1</v>
      </c>
      <c r="F6" s="126">
        <v>1</v>
      </c>
      <c r="G6" s="126">
        <v>1</v>
      </c>
      <c r="H6" s="127">
        <v>0</v>
      </c>
      <c r="I6" s="126">
        <v>1</v>
      </c>
      <c r="J6" s="127">
        <v>0</v>
      </c>
      <c r="K6" s="126">
        <v>1</v>
      </c>
      <c r="L6" s="127">
        <v>0</v>
      </c>
      <c r="M6" s="126">
        <v>1</v>
      </c>
      <c r="N6" s="127">
        <v>0</v>
      </c>
      <c r="O6" s="126">
        <v>1</v>
      </c>
      <c r="P6" s="127">
        <v>0</v>
      </c>
      <c r="Q6" s="126">
        <v>1</v>
      </c>
      <c r="R6" s="127">
        <v>0</v>
      </c>
      <c r="S6" s="126">
        <v>1</v>
      </c>
      <c r="T6" s="127">
        <v>0</v>
      </c>
      <c r="U6" s="126">
        <v>1</v>
      </c>
      <c r="V6" s="127">
        <v>0</v>
      </c>
      <c r="W6" s="126">
        <v>1</v>
      </c>
      <c r="X6" s="127">
        <v>0</v>
      </c>
      <c r="Y6" s="126">
        <v>1</v>
      </c>
      <c r="Z6" s="127">
        <v>0</v>
      </c>
      <c r="AA6" s="126">
        <v>1</v>
      </c>
      <c r="AB6" s="127">
        <v>0</v>
      </c>
      <c r="AC6" s="126">
        <v>1</v>
      </c>
      <c r="AD6" s="127">
        <v>0</v>
      </c>
      <c r="AE6" s="126">
        <v>1</v>
      </c>
      <c r="AF6" s="127">
        <v>0</v>
      </c>
      <c r="AG6" s="126">
        <v>1</v>
      </c>
      <c r="AH6" s="127">
        <v>0</v>
      </c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119"/>
      <c r="AY6" s="119"/>
      <c r="AZ6" s="119"/>
      <c r="BA6" s="24"/>
      <c r="BB6" s="24"/>
      <c r="BC6" s="24"/>
      <c r="BD6" s="24"/>
      <c r="BE6" s="67"/>
      <c r="BF6" s="124">
        <f t="shared" si="3"/>
        <v>32</v>
      </c>
      <c r="BG6" s="34">
        <f t="shared" si="4"/>
        <v>0</v>
      </c>
      <c r="BH6" s="34">
        <f t="shared" si="0"/>
        <v>32</v>
      </c>
      <c r="BI6" s="35">
        <f t="shared" si="1"/>
        <v>1</v>
      </c>
      <c r="BJ6" s="124">
        <f t="shared" si="2"/>
        <v>1.7000000000000002</v>
      </c>
    </row>
    <row r="7" spans="1:63" x14ac:dyDescent="0.25">
      <c r="A7" s="67">
        <v>5</v>
      </c>
      <c r="B7" s="2" t="s">
        <v>480</v>
      </c>
      <c r="C7" s="126">
        <v>1</v>
      </c>
      <c r="D7" s="127">
        <v>0</v>
      </c>
      <c r="E7" s="126">
        <v>1</v>
      </c>
      <c r="F7" s="126">
        <v>1</v>
      </c>
      <c r="G7" s="126">
        <v>1</v>
      </c>
      <c r="H7" s="135" t="s">
        <v>525</v>
      </c>
      <c r="I7" s="126">
        <v>1</v>
      </c>
      <c r="J7" s="127">
        <v>0</v>
      </c>
      <c r="K7" s="126">
        <v>1</v>
      </c>
      <c r="L7" s="127">
        <v>0</v>
      </c>
      <c r="M7" s="126">
        <v>1</v>
      </c>
      <c r="N7" s="127">
        <v>0</v>
      </c>
      <c r="O7" s="126">
        <v>1</v>
      </c>
      <c r="P7" s="127">
        <v>0</v>
      </c>
      <c r="Q7" s="126">
        <v>1</v>
      </c>
      <c r="R7" s="126">
        <v>1</v>
      </c>
      <c r="S7" s="126">
        <v>1</v>
      </c>
      <c r="T7" s="127">
        <v>0</v>
      </c>
      <c r="U7" s="126">
        <v>1</v>
      </c>
      <c r="V7" s="126">
        <v>1</v>
      </c>
      <c r="W7" s="126">
        <v>1</v>
      </c>
      <c r="X7" s="127">
        <v>0</v>
      </c>
      <c r="Y7" s="126">
        <v>1</v>
      </c>
      <c r="Z7" s="126">
        <v>1</v>
      </c>
      <c r="AA7" s="125">
        <v>-2</v>
      </c>
      <c r="AB7" s="127">
        <v>0</v>
      </c>
      <c r="AC7" s="126">
        <v>1</v>
      </c>
      <c r="AD7" s="125">
        <v>-2</v>
      </c>
      <c r="AE7" s="126">
        <v>1</v>
      </c>
      <c r="AF7" s="126">
        <v>1</v>
      </c>
      <c r="AG7" s="126">
        <v>1</v>
      </c>
      <c r="AH7" s="127">
        <v>0</v>
      </c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24"/>
      <c r="BB7" s="24"/>
      <c r="BC7" s="24"/>
      <c r="BD7" s="24"/>
      <c r="BE7" s="67"/>
      <c r="BF7" s="124">
        <f t="shared" si="3"/>
        <v>30</v>
      </c>
      <c r="BG7" s="34">
        <f t="shared" si="4"/>
        <v>2</v>
      </c>
      <c r="BH7" s="34">
        <f t="shared" si="0"/>
        <v>32</v>
      </c>
      <c r="BI7" s="35">
        <f t="shared" si="1"/>
        <v>0.9375</v>
      </c>
      <c r="BJ7" s="124">
        <f t="shared" si="2"/>
        <v>1.6</v>
      </c>
    </row>
    <row r="8" spans="1:63" x14ac:dyDescent="0.25">
      <c r="A8" s="67">
        <v>6</v>
      </c>
      <c r="B8" s="2" t="s">
        <v>483</v>
      </c>
      <c r="C8" s="125">
        <v>-2</v>
      </c>
      <c r="D8" s="127">
        <v>0</v>
      </c>
      <c r="E8" s="126">
        <v>1</v>
      </c>
      <c r="F8" s="126">
        <v>1</v>
      </c>
      <c r="G8" s="126">
        <v>1</v>
      </c>
      <c r="H8" s="135" t="s">
        <v>525</v>
      </c>
      <c r="I8" s="126">
        <v>1</v>
      </c>
      <c r="J8" s="126">
        <v>1</v>
      </c>
      <c r="K8" s="126">
        <v>1</v>
      </c>
      <c r="L8" s="126">
        <v>1</v>
      </c>
      <c r="M8" s="126">
        <v>1</v>
      </c>
      <c r="N8" s="127">
        <v>0</v>
      </c>
      <c r="O8" s="126">
        <v>1</v>
      </c>
      <c r="P8" s="127">
        <v>0</v>
      </c>
      <c r="Q8" s="126">
        <v>1</v>
      </c>
      <c r="R8" s="127">
        <v>0</v>
      </c>
      <c r="S8" s="125">
        <v>-2</v>
      </c>
      <c r="T8" s="126">
        <v>1</v>
      </c>
      <c r="U8" s="126">
        <v>1</v>
      </c>
      <c r="V8" s="127">
        <v>0</v>
      </c>
      <c r="W8" s="126">
        <v>1</v>
      </c>
      <c r="X8" s="126">
        <v>1</v>
      </c>
      <c r="Y8" s="126">
        <v>1</v>
      </c>
      <c r="Z8" s="126">
        <v>1</v>
      </c>
      <c r="AA8" s="126">
        <v>1</v>
      </c>
      <c r="AB8" s="127">
        <v>0</v>
      </c>
      <c r="AC8" s="126">
        <v>1</v>
      </c>
      <c r="AD8" s="126">
        <v>1</v>
      </c>
      <c r="AE8" s="126">
        <v>1</v>
      </c>
      <c r="AF8" s="126">
        <v>1</v>
      </c>
      <c r="AG8" s="126">
        <v>1</v>
      </c>
      <c r="AH8" s="126">
        <v>1</v>
      </c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24"/>
      <c r="BB8" s="24"/>
      <c r="BC8" s="24"/>
      <c r="BD8" s="24"/>
      <c r="BE8" s="67"/>
      <c r="BF8" s="124">
        <f>CalculatePresence(C8:BE8)</f>
        <v>30</v>
      </c>
      <c r="BG8" s="34">
        <f>CalculateAbsence(C8:BE8)</f>
        <v>2</v>
      </c>
      <c r="BH8" s="34">
        <f>BF8+BG8</f>
        <v>32</v>
      </c>
      <c r="BI8" s="35">
        <f>BF8/(IF(BH8&gt;0,BH8,1))</f>
        <v>0.9375</v>
      </c>
      <c r="BJ8" s="124">
        <f>SUM(C8:BE8)*0.1</f>
        <v>1.9000000000000001</v>
      </c>
    </row>
    <row r="9" spans="1:63" x14ac:dyDescent="0.25">
      <c r="A9" s="67">
        <v>7</v>
      </c>
      <c r="B9" s="2" t="s">
        <v>481</v>
      </c>
      <c r="C9" s="126">
        <v>1</v>
      </c>
      <c r="D9" s="127">
        <v>0</v>
      </c>
      <c r="E9" s="126">
        <v>1</v>
      </c>
      <c r="F9" s="126">
        <v>1</v>
      </c>
      <c r="G9" s="126">
        <v>1</v>
      </c>
      <c r="H9" s="126">
        <v>1</v>
      </c>
      <c r="I9" s="126">
        <v>1</v>
      </c>
      <c r="J9" s="126">
        <v>1</v>
      </c>
      <c r="K9" s="126">
        <v>1</v>
      </c>
      <c r="L9" s="126">
        <v>1</v>
      </c>
      <c r="M9" s="126">
        <v>1</v>
      </c>
      <c r="N9" s="127">
        <v>0</v>
      </c>
      <c r="O9" s="126">
        <v>1</v>
      </c>
      <c r="P9" s="127">
        <v>0</v>
      </c>
      <c r="Q9" s="126">
        <v>1</v>
      </c>
      <c r="R9" s="126">
        <v>1</v>
      </c>
      <c r="S9" s="126">
        <v>1</v>
      </c>
      <c r="T9" s="126">
        <v>1</v>
      </c>
      <c r="U9" s="126">
        <v>1</v>
      </c>
      <c r="V9" s="126">
        <v>1</v>
      </c>
      <c r="W9" s="126">
        <v>1</v>
      </c>
      <c r="X9" s="126">
        <v>1</v>
      </c>
      <c r="Y9" s="126">
        <v>1</v>
      </c>
      <c r="Z9" s="126">
        <v>1</v>
      </c>
      <c r="AA9" s="126">
        <v>1</v>
      </c>
      <c r="AB9" s="126">
        <v>1</v>
      </c>
      <c r="AC9" s="126">
        <v>1</v>
      </c>
      <c r="AD9" s="126">
        <v>1</v>
      </c>
      <c r="AE9" s="126">
        <v>1</v>
      </c>
      <c r="AF9" s="126">
        <v>1</v>
      </c>
      <c r="AG9" s="126">
        <v>1</v>
      </c>
      <c r="AH9" s="126">
        <v>1</v>
      </c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  <c r="AZ9" s="119"/>
      <c r="BA9" s="24"/>
      <c r="BB9" s="24"/>
      <c r="BC9" s="24"/>
      <c r="BD9" s="24"/>
      <c r="BE9" s="67"/>
      <c r="BF9" s="124">
        <f t="shared" si="3"/>
        <v>32</v>
      </c>
      <c r="BG9" s="34">
        <f t="shared" si="4"/>
        <v>0</v>
      </c>
      <c r="BH9" s="34">
        <f t="shared" si="0"/>
        <v>32</v>
      </c>
      <c r="BI9" s="35">
        <f t="shared" si="1"/>
        <v>1</v>
      </c>
      <c r="BJ9" s="124">
        <f t="shared" si="2"/>
        <v>2.9000000000000004</v>
      </c>
    </row>
    <row r="10" spans="1:63" x14ac:dyDescent="0.25">
      <c r="A10" s="67">
        <v>8</v>
      </c>
      <c r="B10" s="2" t="s">
        <v>482</v>
      </c>
      <c r="C10" s="126">
        <v>1</v>
      </c>
      <c r="D10" s="127">
        <v>0</v>
      </c>
      <c r="E10" s="126">
        <v>1</v>
      </c>
      <c r="F10" s="126">
        <v>1</v>
      </c>
      <c r="G10" s="126">
        <v>1</v>
      </c>
      <c r="H10" s="135" t="s">
        <v>525</v>
      </c>
      <c r="I10" s="125">
        <v>-2</v>
      </c>
      <c r="J10" s="127">
        <v>0</v>
      </c>
      <c r="K10" s="126">
        <v>1</v>
      </c>
      <c r="L10" s="127">
        <v>0</v>
      </c>
      <c r="M10" s="126">
        <v>1</v>
      </c>
      <c r="N10" s="127">
        <v>0</v>
      </c>
      <c r="O10" s="126">
        <v>1</v>
      </c>
      <c r="P10" s="127">
        <v>0</v>
      </c>
      <c r="Q10" s="126">
        <v>1</v>
      </c>
      <c r="R10" s="125">
        <v>-2</v>
      </c>
      <c r="S10" s="126">
        <v>1</v>
      </c>
      <c r="T10" s="127">
        <v>0</v>
      </c>
      <c r="U10" s="126">
        <v>1</v>
      </c>
      <c r="V10" s="126">
        <v>1</v>
      </c>
      <c r="W10" s="126">
        <v>1</v>
      </c>
      <c r="X10" s="127">
        <v>0</v>
      </c>
      <c r="Y10" s="126">
        <v>1</v>
      </c>
      <c r="Z10" s="126">
        <v>1</v>
      </c>
      <c r="AA10" s="126">
        <v>1</v>
      </c>
      <c r="AB10" s="126">
        <v>1</v>
      </c>
      <c r="AC10" s="126">
        <v>1</v>
      </c>
      <c r="AD10" s="126">
        <v>1</v>
      </c>
      <c r="AE10" s="126">
        <v>1</v>
      </c>
      <c r="AF10" s="126">
        <v>1</v>
      </c>
      <c r="AG10" s="126">
        <v>1</v>
      </c>
      <c r="AH10" s="127">
        <v>0</v>
      </c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24"/>
      <c r="BB10" s="24"/>
      <c r="BC10" s="24"/>
      <c r="BD10" s="24"/>
      <c r="BE10" s="67"/>
      <c r="BF10" s="124">
        <f t="shared" si="3"/>
        <v>30</v>
      </c>
      <c r="BG10" s="34">
        <f t="shared" si="4"/>
        <v>2</v>
      </c>
      <c r="BH10" s="34">
        <f t="shared" si="0"/>
        <v>32</v>
      </c>
      <c r="BI10" s="35">
        <f t="shared" si="1"/>
        <v>0.9375</v>
      </c>
      <c r="BJ10" s="124">
        <f t="shared" si="2"/>
        <v>1.7000000000000002</v>
      </c>
    </row>
    <row r="11" spans="1:63" x14ac:dyDescent="0.25">
      <c r="A11" s="67">
        <v>9</v>
      </c>
      <c r="B11" s="2" t="s">
        <v>484</v>
      </c>
      <c r="C11" s="126">
        <v>1</v>
      </c>
      <c r="D11" s="126">
        <v>1</v>
      </c>
      <c r="E11" s="126">
        <v>1</v>
      </c>
      <c r="F11" s="126">
        <v>1</v>
      </c>
      <c r="G11" s="126">
        <v>1</v>
      </c>
      <c r="H11" s="126">
        <v>1</v>
      </c>
      <c r="I11" s="126">
        <v>1</v>
      </c>
      <c r="J11" s="126">
        <v>1</v>
      </c>
      <c r="K11" s="126">
        <v>1</v>
      </c>
      <c r="L11" s="126">
        <v>1</v>
      </c>
      <c r="M11" s="126">
        <v>1</v>
      </c>
      <c r="N11" s="126">
        <v>1</v>
      </c>
      <c r="O11" s="126">
        <v>1</v>
      </c>
      <c r="P11" s="126">
        <v>1</v>
      </c>
      <c r="Q11" s="126">
        <v>1</v>
      </c>
      <c r="R11" s="126">
        <v>1</v>
      </c>
      <c r="S11" s="126">
        <v>1</v>
      </c>
      <c r="T11" s="126">
        <v>1</v>
      </c>
      <c r="U11" s="126">
        <v>1</v>
      </c>
      <c r="V11" s="126">
        <v>1</v>
      </c>
      <c r="W11" s="126">
        <v>1</v>
      </c>
      <c r="X11" s="126">
        <v>1</v>
      </c>
      <c r="Y11" s="126">
        <v>1</v>
      </c>
      <c r="Z11" s="127">
        <v>0</v>
      </c>
      <c r="AA11" s="126">
        <v>1</v>
      </c>
      <c r="AB11" s="127">
        <v>0</v>
      </c>
      <c r="AC11" s="126">
        <v>1</v>
      </c>
      <c r="AD11" s="126">
        <v>1</v>
      </c>
      <c r="AE11" s="126">
        <v>1</v>
      </c>
      <c r="AF11" s="126">
        <v>1</v>
      </c>
      <c r="AG11" s="126">
        <v>1</v>
      </c>
      <c r="AH11" s="127">
        <v>0</v>
      </c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24"/>
      <c r="BB11" s="24"/>
      <c r="BC11" s="24"/>
      <c r="BD11" s="24"/>
      <c r="BE11" s="67"/>
      <c r="BF11" s="124">
        <f t="shared" si="3"/>
        <v>32</v>
      </c>
      <c r="BG11" s="34">
        <f t="shared" si="4"/>
        <v>0</v>
      </c>
      <c r="BH11" s="34">
        <f t="shared" si="0"/>
        <v>32</v>
      </c>
      <c r="BI11" s="35">
        <f t="shared" si="1"/>
        <v>1</v>
      </c>
      <c r="BJ11" s="124">
        <f t="shared" si="2"/>
        <v>2.9000000000000004</v>
      </c>
    </row>
    <row r="12" spans="1:63" x14ac:dyDescent="0.25">
      <c r="A12" s="67">
        <v>10</v>
      </c>
      <c r="B12" s="2" t="s">
        <v>485</v>
      </c>
      <c r="C12" s="126">
        <v>1</v>
      </c>
      <c r="D12" s="126">
        <v>1</v>
      </c>
      <c r="E12" s="126">
        <v>1</v>
      </c>
      <c r="F12" s="126">
        <v>1</v>
      </c>
      <c r="G12" s="126">
        <v>1</v>
      </c>
      <c r="H12" s="126">
        <v>1</v>
      </c>
      <c r="I12" s="126">
        <v>1</v>
      </c>
      <c r="J12" s="127">
        <v>0</v>
      </c>
      <c r="K12" s="126">
        <v>1</v>
      </c>
      <c r="L12" s="126">
        <v>1</v>
      </c>
      <c r="M12" s="126">
        <v>1</v>
      </c>
      <c r="N12" s="127">
        <v>0</v>
      </c>
      <c r="O12" s="126">
        <v>1</v>
      </c>
      <c r="P12" s="126">
        <v>1</v>
      </c>
      <c r="Q12" s="126">
        <v>1</v>
      </c>
      <c r="R12" s="126">
        <v>1</v>
      </c>
      <c r="S12" s="126">
        <v>1</v>
      </c>
      <c r="T12" s="126">
        <v>1</v>
      </c>
      <c r="U12" s="126">
        <v>1</v>
      </c>
      <c r="V12" s="127">
        <v>0</v>
      </c>
      <c r="W12" s="126">
        <v>1</v>
      </c>
      <c r="X12" s="127">
        <v>0</v>
      </c>
      <c r="Y12" s="126">
        <v>1</v>
      </c>
      <c r="Z12" s="126">
        <v>1</v>
      </c>
      <c r="AA12" s="125">
        <v>-2</v>
      </c>
      <c r="AB12" s="127">
        <v>0</v>
      </c>
      <c r="AC12" s="126">
        <v>1</v>
      </c>
      <c r="AD12" s="126">
        <v>1</v>
      </c>
      <c r="AE12" s="126">
        <v>1</v>
      </c>
      <c r="AF12" s="127">
        <v>0</v>
      </c>
      <c r="AG12" s="126">
        <v>1</v>
      </c>
      <c r="AH12" s="127">
        <v>0</v>
      </c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24"/>
      <c r="BB12" s="24"/>
      <c r="BC12" s="24"/>
      <c r="BD12" s="24"/>
      <c r="BE12" s="67"/>
      <c r="BF12" s="124">
        <f t="shared" si="3"/>
        <v>31</v>
      </c>
      <c r="BG12" s="34">
        <f t="shared" si="4"/>
        <v>1</v>
      </c>
      <c r="BH12" s="34">
        <f t="shared" si="0"/>
        <v>32</v>
      </c>
      <c r="BI12" s="35">
        <f t="shared" si="1"/>
        <v>0.96875</v>
      </c>
      <c r="BJ12" s="124">
        <f t="shared" si="2"/>
        <v>2.2000000000000002</v>
      </c>
    </row>
    <row r="13" spans="1:63" x14ac:dyDescent="0.25">
      <c r="A13" s="67">
        <v>11</v>
      </c>
      <c r="B13" s="2" t="s">
        <v>486</v>
      </c>
      <c r="C13" s="126">
        <v>1</v>
      </c>
      <c r="D13" s="126">
        <v>1</v>
      </c>
      <c r="E13" s="126">
        <v>1</v>
      </c>
      <c r="F13" s="125">
        <v>-2</v>
      </c>
      <c r="G13" s="125">
        <v>-2</v>
      </c>
      <c r="H13" s="126">
        <v>1</v>
      </c>
      <c r="I13" s="126">
        <v>1</v>
      </c>
      <c r="J13" s="126">
        <v>1</v>
      </c>
      <c r="K13" s="135" t="s">
        <v>538</v>
      </c>
      <c r="L13" s="126">
        <v>1</v>
      </c>
      <c r="M13" s="126">
        <v>1</v>
      </c>
      <c r="N13" s="127">
        <v>0</v>
      </c>
      <c r="O13" s="126">
        <v>1</v>
      </c>
      <c r="P13" s="125">
        <v>-2</v>
      </c>
      <c r="Q13" s="126">
        <v>1</v>
      </c>
      <c r="R13" s="126">
        <v>1</v>
      </c>
      <c r="S13" s="126">
        <v>1</v>
      </c>
      <c r="T13" s="126">
        <v>1</v>
      </c>
      <c r="U13" s="126">
        <v>1</v>
      </c>
      <c r="V13" s="126">
        <v>1</v>
      </c>
      <c r="W13" s="126">
        <v>1</v>
      </c>
      <c r="X13" s="126">
        <v>1</v>
      </c>
      <c r="Y13" s="126">
        <v>1</v>
      </c>
      <c r="Z13" s="126">
        <v>1</v>
      </c>
      <c r="AA13" s="126">
        <v>1</v>
      </c>
      <c r="AB13" s="126">
        <v>1</v>
      </c>
      <c r="AC13" s="126">
        <v>1</v>
      </c>
      <c r="AD13" s="126">
        <v>1</v>
      </c>
      <c r="AE13" s="126">
        <v>1</v>
      </c>
      <c r="AF13" s="126">
        <v>1</v>
      </c>
      <c r="AG13" s="126">
        <v>1</v>
      </c>
      <c r="AH13" s="126">
        <v>1</v>
      </c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AZ13" s="119"/>
      <c r="BA13" s="24"/>
      <c r="BB13" s="24"/>
      <c r="BC13" s="24"/>
      <c r="BD13" s="24"/>
      <c r="BE13" s="67"/>
      <c r="BF13" s="124">
        <f t="shared" si="3"/>
        <v>29</v>
      </c>
      <c r="BG13" s="34">
        <f t="shared" si="4"/>
        <v>3</v>
      </c>
      <c r="BH13" s="34">
        <f t="shared" si="0"/>
        <v>32</v>
      </c>
      <c r="BI13" s="35">
        <f t="shared" si="1"/>
        <v>0.90625</v>
      </c>
      <c r="BJ13" s="124">
        <f t="shared" si="2"/>
        <v>2.1</v>
      </c>
    </row>
    <row r="14" spans="1:63" x14ac:dyDescent="0.25">
      <c r="A14" s="67">
        <v>12</v>
      </c>
      <c r="B14" s="2" t="s">
        <v>487</v>
      </c>
      <c r="C14" s="126">
        <v>1</v>
      </c>
      <c r="D14" s="125">
        <v>-2</v>
      </c>
      <c r="E14" s="126">
        <v>1</v>
      </c>
      <c r="F14" s="127">
        <v>0</v>
      </c>
      <c r="G14" s="125">
        <v>-2</v>
      </c>
      <c r="H14" s="125">
        <v>-2</v>
      </c>
      <c r="I14" s="126">
        <v>1</v>
      </c>
      <c r="J14" s="127">
        <v>0</v>
      </c>
      <c r="K14" s="126">
        <v>1</v>
      </c>
      <c r="L14" s="125">
        <v>-2</v>
      </c>
      <c r="M14" s="125">
        <v>-2</v>
      </c>
      <c r="N14" s="125">
        <v>-2</v>
      </c>
      <c r="O14" s="125">
        <v>-2</v>
      </c>
      <c r="P14" s="125">
        <v>-2</v>
      </c>
      <c r="Q14" s="125">
        <v>-2</v>
      </c>
      <c r="R14" s="125">
        <v>-2</v>
      </c>
      <c r="S14" s="125">
        <v>-2</v>
      </c>
      <c r="T14" s="125">
        <v>-2</v>
      </c>
      <c r="U14" s="125">
        <v>-2</v>
      </c>
      <c r="V14" s="125">
        <v>-2</v>
      </c>
      <c r="W14" s="125">
        <v>-2</v>
      </c>
      <c r="X14" s="125">
        <v>-2</v>
      </c>
      <c r="Y14" s="125">
        <v>-2</v>
      </c>
      <c r="Z14" s="125">
        <v>-2</v>
      </c>
      <c r="AA14" s="125">
        <v>-2</v>
      </c>
      <c r="AB14" s="125">
        <v>-2</v>
      </c>
      <c r="AC14" s="125">
        <v>-2</v>
      </c>
      <c r="AD14" s="125">
        <v>-2</v>
      </c>
      <c r="AE14" s="125">
        <v>-2</v>
      </c>
      <c r="AF14" s="125">
        <v>-2</v>
      </c>
      <c r="AG14" s="125">
        <v>-2</v>
      </c>
      <c r="AH14" s="125">
        <v>-2</v>
      </c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24"/>
      <c r="BB14" s="24"/>
      <c r="BC14" s="24"/>
      <c r="BD14" s="24"/>
      <c r="BE14" s="67"/>
      <c r="BF14" s="124">
        <f t="shared" si="3"/>
        <v>6</v>
      </c>
      <c r="BG14" s="34">
        <f t="shared" si="4"/>
        <v>26</v>
      </c>
      <c r="BH14" s="34">
        <f t="shared" si="0"/>
        <v>32</v>
      </c>
      <c r="BI14" s="35">
        <f t="shared" si="1"/>
        <v>0.1875</v>
      </c>
      <c r="BJ14" s="124">
        <f t="shared" si="2"/>
        <v>-4.8000000000000007</v>
      </c>
    </row>
    <row r="15" spans="1:63" x14ac:dyDescent="0.25">
      <c r="A15" s="67">
        <v>13</v>
      </c>
      <c r="B15" s="2" t="s">
        <v>488</v>
      </c>
      <c r="C15" s="126">
        <v>1</v>
      </c>
      <c r="D15" s="127">
        <v>0</v>
      </c>
      <c r="E15" s="126">
        <v>1</v>
      </c>
      <c r="F15" s="126">
        <v>1</v>
      </c>
      <c r="G15" s="126">
        <v>1</v>
      </c>
      <c r="H15" s="135" t="s">
        <v>525</v>
      </c>
      <c r="I15" s="126">
        <v>1</v>
      </c>
      <c r="J15" s="126">
        <v>1</v>
      </c>
      <c r="K15" s="126">
        <v>1</v>
      </c>
      <c r="L15" s="127">
        <v>0</v>
      </c>
      <c r="M15" s="126">
        <v>1</v>
      </c>
      <c r="N15" s="127">
        <v>0</v>
      </c>
      <c r="O15" s="126">
        <v>1</v>
      </c>
      <c r="P15" s="126">
        <v>1</v>
      </c>
      <c r="Q15" s="126">
        <v>1</v>
      </c>
      <c r="R15" s="127">
        <v>0</v>
      </c>
      <c r="S15" s="126">
        <v>1</v>
      </c>
      <c r="T15" s="126">
        <v>1</v>
      </c>
      <c r="U15" s="126">
        <v>1</v>
      </c>
      <c r="V15" s="126">
        <v>1</v>
      </c>
      <c r="W15" s="126">
        <v>1</v>
      </c>
      <c r="X15" s="126">
        <v>1</v>
      </c>
      <c r="Y15" s="126">
        <v>1</v>
      </c>
      <c r="Z15" s="126">
        <v>1</v>
      </c>
      <c r="AA15" s="126">
        <v>1</v>
      </c>
      <c r="AB15" s="126">
        <v>1</v>
      </c>
      <c r="AC15" s="126">
        <v>1</v>
      </c>
      <c r="AD15" s="126">
        <v>1</v>
      </c>
      <c r="AE15" s="126">
        <v>1</v>
      </c>
      <c r="AF15" s="126">
        <v>1</v>
      </c>
      <c r="AG15" s="126">
        <v>1</v>
      </c>
      <c r="AH15" s="126">
        <v>1</v>
      </c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24"/>
      <c r="BB15" s="24"/>
      <c r="BC15" s="24"/>
      <c r="BD15" s="24"/>
      <c r="BE15" s="67"/>
      <c r="BF15" s="124">
        <f t="shared" si="3"/>
        <v>32</v>
      </c>
      <c r="BG15" s="34">
        <f t="shared" si="4"/>
        <v>0</v>
      </c>
      <c r="BH15" s="34">
        <f t="shared" si="0"/>
        <v>32</v>
      </c>
      <c r="BI15" s="35">
        <f t="shared" si="1"/>
        <v>1</v>
      </c>
      <c r="BJ15" s="124">
        <f t="shared" si="2"/>
        <v>2.7</v>
      </c>
    </row>
    <row r="16" spans="1:63" x14ac:dyDescent="0.25">
      <c r="A16" s="67">
        <v>14</v>
      </c>
      <c r="B16" s="2" t="s">
        <v>473</v>
      </c>
      <c r="C16" s="126">
        <v>1</v>
      </c>
      <c r="D16" s="127">
        <v>0</v>
      </c>
      <c r="E16" s="126">
        <v>1</v>
      </c>
      <c r="F16" s="126">
        <v>1</v>
      </c>
      <c r="G16" s="126">
        <v>1</v>
      </c>
      <c r="H16" s="135" t="s">
        <v>525</v>
      </c>
      <c r="I16" s="126">
        <v>1</v>
      </c>
      <c r="J16" s="126">
        <v>1</v>
      </c>
      <c r="K16" s="126">
        <v>1</v>
      </c>
      <c r="L16" s="126">
        <v>1</v>
      </c>
      <c r="M16" s="126">
        <v>1</v>
      </c>
      <c r="N16" s="126">
        <v>1</v>
      </c>
      <c r="O16" s="126">
        <v>1</v>
      </c>
      <c r="P16" s="126">
        <v>1</v>
      </c>
      <c r="Q16" s="126">
        <v>1</v>
      </c>
      <c r="R16" s="127">
        <v>0</v>
      </c>
      <c r="S16" s="119" t="s">
        <v>511</v>
      </c>
      <c r="T16" s="126">
        <v>1</v>
      </c>
      <c r="U16" s="126">
        <v>1</v>
      </c>
      <c r="V16" s="126">
        <v>1</v>
      </c>
      <c r="W16" s="126">
        <v>1</v>
      </c>
      <c r="X16" s="126">
        <v>1</v>
      </c>
      <c r="Y16" s="126">
        <v>1</v>
      </c>
      <c r="Z16" s="126">
        <v>1</v>
      </c>
      <c r="AA16" s="126">
        <v>1</v>
      </c>
      <c r="AB16" s="127">
        <v>0</v>
      </c>
      <c r="AC16" s="126">
        <v>1</v>
      </c>
      <c r="AD16" s="126">
        <v>1</v>
      </c>
      <c r="AE16" s="126">
        <v>1</v>
      </c>
      <c r="AF16" s="126">
        <v>1</v>
      </c>
      <c r="AG16" s="126">
        <v>1</v>
      </c>
      <c r="AH16" s="126">
        <v>1</v>
      </c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24"/>
      <c r="BB16" s="24"/>
      <c r="BC16" s="24"/>
      <c r="BD16" s="24"/>
      <c r="BE16" s="67"/>
      <c r="BF16" s="124">
        <f t="shared" si="3"/>
        <v>32</v>
      </c>
      <c r="BG16" s="34">
        <f t="shared" si="4"/>
        <v>0</v>
      </c>
      <c r="BH16" s="34">
        <f t="shared" si="0"/>
        <v>32</v>
      </c>
      <c r="BI16" s="35">
        <f t="shared" si="1"/>
        <v>1</v>
      </c>
      <c r="BJ16" s="124">
        <f t="shared" si="2"/>
        <v>2.7</v>
      </c>
    </row>
    <row r="17" spans="1:63" x14ac:dyDescent="0.25">
      <c r="A17" s="67">
        <v>15</v>
      </c>
      <c r="B17" s="2" t="s">
        <v>474</v>
      </c>
      <c r="C17" s="125">
        <v>-2</v>
      </c>
      <c r="D17" s="127">
        <v>0</v>
      </c>
      <c r="E17" s="126">
        <v>1</v>
      </c>
      <c r="F17" s="125">
        <v>-2</v>
      </c>
      <c r="G17" s="126">
        <v>1</v>
      </c>
      <c r="H17" s="127">
        <v>0</v>
      </c>
      <c r="I17" s="126">
        <v>1</v>
      </c>
      <c r="J17" s="127">
        <v>0</v>
      </c>
      <c r="K17" s="126">
        <v>1</v>
      </c>
      <c r="L17" s="125">
        <v>-2</v>
      </c>
      <c r="M17" s="126">
        <v>1</v>
      </c>
      <c r="N17" s="127">
        <v>0</v>
      </c>
      <c r="O17" s="126">
        <v>1</v>
      </c>
      <c r="P17" s="125">
        <v>-2</v>
      </c>
      <c r="Q17" s="126">
        <v>1</v>
      </c>
      <c r="R17" s="125">
        <v>-2</v>
      </c>
      <c r="S17" s="126">
        <v>1</v>
      </c>
      <c r="T17" s="125">
        <v>-2</v>
      </c>
      <c r="U17" s="126">
        <v>1</v>
      </c>
      <c r="V17" s="125">
        <v>-2</v>
      </c>
      <c r="W17" s="126">
        <v>1</v>
      </c>
      <c r="X17" s="125">
        <v>-2</v>
      </c>
      <c r="Y17" s="126">
        <v>1</v>
      </c>
      <c r="Z17" s="127">
        <v>0</v>
      </c>
      <c r="AA17" s="126">
        <v>1</v>
      </c>
      <c r="AB17" s="127">
        <v>0</v>
      </c>
      <c r="AC17" s="126">
        <v>1</v>
      </c>
      <c r="AD17" s="126">
        <v>1</v>
      </c>
      <c r="AE17" s="126">
        <v>1</v>
      </c>
      <c r="AF17" s="126">
        <v>1</v>
      </c>
      <c r="AG17" s="126">
        <v>1</v>
      </c>
      <c r="AH17" s="127">
        <v>0</v>
      </c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24"/>
      <c r="BB17" s="24"/>
      <c r="BC17" s="24"/>
      <c r="BD17" s="24"/>
      <c r="BE17" s="67"/>
      <c r="BF17" s="124">
        <f t="shared" si="3"/>
        <v>24</v>
      </c>
      <c r="BG17" s="34">
        <f t="shared" si="4"/>
        <v>8</v>
      </c>
      <c r="BH17" s="34">
        <f t="shared" si="0"/>
        <v>32</v>
      </c>
      <c r="BI17" s="35">
        <f t="shared" si="1"/>
        <v>0.75</v>
      </c>
      <c r="BJ17" s="124">
        <f t="shared" si="2"/>
        <v>0.1</v>
      </c>
    </row>
    <row r="18" spans="1:63" x14ac:dyDescent="0.25">
      <c r="A18" s="67">
        <v>16</v>
      </c>
      <c r="B18" s="2" t="s">
        <v>489</v>
      </c>
      <c r="C18" s="126">
        <v>1</v>
      </c>
      <c r="D18" s="126">
        <v>1</v>
      </c>
      <c r="E18" s="126">
        <v>1</v>
      </c>
      <c r="F18" s="126">
        <v>1</v>
      </c>
      <c r="G18" s="125">
        <v>-2</v>
      </c>
      <c r="H18" s="127">
        <v>0</v>
      </c>
      <c r="I18" s="126">
        <v>1</v>
      </c>
      <c r="J18" s="126">
        <v>1</v>
      </c>
      <c r="K18" s="126">
        <v>1</v>
      </c>
      <c r="L18" s="127">
        <v>0</v>
      </c>
      <c r="M18" s="126">
        <v>1</v>
      </c>
      <c r="N18" s="127">
        <v>0</v>
      </c>
      <c r="O18" s="126">
        <v>1</v>
      </c>
      <c r="P18" s="127">
        <v>0</v>
      </c>
      <c r="Q18" s="126">
        <v>1</v>
      </c>
      <c r="R18" s="126">
        <v>1</v>
      </c>
      <c r="S18" s="125">
        <v>-2</v>
      </c>
      <c r="T18" s="127">
        <v>0</v>
      </c>
      <c r="U18" s="126">
        <v>1</v>
      </c>
      <c r="V18" s="127">
        <v>0</v>
      </c>
      <c r="W18" s="126">
        <v>1</v>
      </c>
      <c r="X18" s="125">
        <v>-2</v>
      </c>
      <c r="Y18" s="126">
        <v>1</v>
      </c>
      <c r="Z18" s="127">
        <v>0</v>
      </c>
      <c r="AA18" s="126">
        <v>1</v>
      </c>
      <c r="AB18" s="127">
        <v>0</v>
      </c>
      <c r="AC18" s="125">
        <v>-2</v>
      </c>
      <c r="AD18" s="126">
        <v>1</v>
      </c>
      <c r="AE18" s="125">
        <v>-2</v>
      </c>
      <c r="AF18" s="126">
        <v>1</v>
      </c>
      <c r="AG18" s="126">
        <v>1</v>
      </c>
      <c r="AH18" s="127">
        <v>0</v>
      </c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  <c r="AZ18" s="119"/>
      <c r="BA18" s="24"/>
      <c r="BB18" s="24"/>
      <c r="BC18" s="24"/>
      <c r="BD18" s="24"/>
      <c r="BE18" s="67"/>
      <c r="BF18" s="124">
        <f t="shared" si="3"/>
        <v>27</v>
      </c>
      <c r="BG18" s="34">
        <f t="shared" si="4"/>
        <v>5</v>
      </c>
      <c r="BH18" s="34">
        <f t="shared" si="0"/>
        <v>32</v>
      </c>
      <c r="BI18" s="35">
        <f t="shared" si="1"/>
        <v>0.84375</v>
      </c>
      <c r="BJ18" s="124">
        <f t="shared" si="2"/>
        <v>0.8</v>
      </c>
    </row>
    <row r="19" spans="1:63" x14ac:dyDescent="0.25">
      <c r="A19" s="67">
        <v>17</v>
      </c>
      <c r="B19" s="2" t="s">
        <v>475</v>
      </c>
      <c r="C19" s="125">
        <v>-2</v>
      </c>
      <c r="D19" s="127">
        <v>0</v>
      </c>
      <c r="E19" s="125">
        <v>-2</v>
      </c>
      <c r="F19" s="125">
        <v>-2</v>
      </c>
      <c r="G19" s="126">
        <v>1</v>
      </c>
      <c r="H19" s="127">
        <v>0</v>
      </c>
      <c r="I19" s="126">
        <v>1</v>
      </c>
      <c r="J19" s="125">
        <v>-2</v>
      </c>
      <c r="K19" s="126">
        <v>1</v>
      </c>
      <c r="L19" s="125">
        <v>-2</v>
      </c>
      <c r="M19" s="126">
        <v>1</v>
      </c>
      <c r="N19" s="125">
        <v>-2</v>
      </c>
      <c r="O19" s="126">
        <v>1</v>
      </c>
      <c r="P19" s="125">
        <v>-2</v>
      </c>
      <c r="Q19" s="126">
        <v>1</v>
      </c>
      <c r="R19" s="125">
        <v>-2</v>
      </c>
      <c r="S19" s="126">
        <v>1</v>
      </c>
      <c r="T19" s="125">
        <v>-2</v>
      </c>
      <c r="U19" s="126">
        <v>1</v>
      </c>
      <c r="V19" s="125">
        <v>-2</v>
      </c>
      <c r="W19" s="126">
        <v>1</v>
      </c>
      <c r="X19" s="125">
        <v>-2</v>
      </c>
      <c r="Y19" s="125">
        <v>-2</v>
      </c>
      <c r="Z19" s="125">
        <v>-2</v>
      </c>
      <c r="AA19" s="126">
        <v>1</v>
      </c>
      <c r="AB19" s="125">
        <v>-2</v>
      </c>
      <c r="AC19" s="126">
        <v>1</v>
      </c>
      <c r="AD19" s="125">
        <v>-2</v>
      </c>
      <c r="AE19" s="125">
        <v>-2</v>
      </c>
      <c r="AF19" s="125">
        <v>-2</v>
      </c>
      <c r="AG19" s="125">
        <v>-2</v>
      </c>
      <c r="AH19" s="125">
        <v>-2</v>
      </c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24"/>
      <c r="BB19" s="24"/>
      <c r="BC19" s="24"/>
      <c r="BD19" s="24"/>
      <c r="BE19" s="67"/>
      <c r="BF19" s="124">
        <f t="shared" si="3"/>
        <v>13</v>
      </c>
      <c r="BG19" s="34">
        <f t="shared" si="4"/>
        <v>19</v>
      </c>
      <c r="BH19" s="34">
        <f t="shared" si="0"/>
        <v>32</v>
      </c>
      <c r="BI19" s="35">
        <f t="shared" si="1"/>
        <v>0.40625</v>
      </c>
      <c r="BJ19" s="124">
        <f t="shared" si="2"/>
        <v>-2.7</v>
      </c>
    </row>
    <row r="20" spans="1:63" x14ac:dyDescent="0.25">
      <c r="A20" s="67">
        <v>18</v>
      </c>
      <c r="B20" s="2" t="s">
        <v>490</v>
      </c>
      <c r="C20" s="126">
        <v>1</v>
      </c>
      <c r="D20" s="127">
        <v>0</v>
      </c>
      <c r="E20" s="126">
        <v>1</v>
      </c>
      <c r="F20" s="125">
        <v>-2</v>
      </c>
      <c r="G20" s="125">
        <v>-2</v>
      </c>
      <c r="H20" s="125">
        <v>-2</v>
      </c>
      <c r="I20" s="126">
        <v>1</v>
      </c>
      <c r="J20" s="125">
        <v>-2</v>
      </c>
      <c r="K20" s="125">
        <v>-2</v>
      </c>
      <c r="L20" s="125">
        <v>-2</v>
      </c>
      <c r="M20" s="126">
        <v>1</v>
      </c>
      <c r="N20" s="125">
        <v>-2</v>
      </c>
      <c r="O20" s="125">
        <v>-2</v>
      </c>
      <c r="P20" s="125">
        <v>-2</v>
      </c>
      <c r="Q20" s="125">
        <v>-2</v>
      </c>
      <c r="R20" s="125">
        <v>-2</v>
      </c>
      <c r="S20" s="125">
        <v>-2</v>
      </c>
      <c r="T20" s="125">
        <v>-2</v>
      </c>
      <c r="U20" s="126">
        <v>1</v>
      </c>
      <c r="V20" s="126">
        <v>1</v>
      </c>
      <c r="W20" s="126">
        <v>1</v>
      </c>
      <c r="X20" s="127">
        <v>0</v>
      </c>
      <c r="Y20" s="126">
        <v>1</v>
      </c>
      <c r="Z20" s="127">
        <v>0</v>
      </c>
      <c r="AA20" s="126">
        <v>1</v>
      </c>
      <c r="AB20" s="127">
        <v>0</v>
      </c>
      <c r="AC20" s="126">
        <v>1</v>
      </c>
      <c r="AD20" s="127">
        <v>0</v>
      </c>
      <c r="AE20" s="126">
        <v>1</v>
      </c>
      <c r="AF20" s="127">
        <v>0</v>
      </c>
      <c r="AG20" s="126">
        <v>1</v>
      </c>
      <c r="AH20" s="127">
        <v>0</v>
      </c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24"/>
      <c r="BB20" s="24"/>
      <c r="BC20" s="24"/>
      <c r="BD20" s="24"/>
      <c r="BE20" s="67"/>
      <c r="BF20" s="124">
        <f t="shared" si="3"/>
        <v>19</v>
      </c>
      <c r="BG20" s="34">
        <f t="shared" si="4"/>
        <v>13</v>
      </c>
      <c r="BH20" s="34">
        <f t="shared" si="0"/>
        <v>32</v>
      </c>
      <c r="BI20" s="35">
        <f t="shared" si="1"/>
        <v>0.59375</v>
      </c>
      <c r="BJ20" s="124">
        <f t="shared" si="2"/>
        <v>-1.4000000000000001</v>
      </c>
    </row>
    <row r="21" spans="1:63" x14ac:dyDescent="0.25">
      <c r="A21" s="67">
        <v>19</v>
      </c>
      <c r="B21" s="2" t="s">
        <v>491</v>
      </c>
      <c r="C21" s="126">
        <v>1</v>
      </c>
      <c r="D21" s="127">
        <v>0</v>
      </c>
      <c r="E21" s="135" t="s">
        <v>511</v>
      </c>
      <c r="F21" s="135" t="s">
        <v>511</v>
      </c>
      <c r="G21" s="135" t="s">
        <v>511</v>
      </c>
      <c r="H21" s="127">
        <v>0</v>
      </c>
      <c r="I21" s="126">
        <v>1</v>
      </c>
      <c r="J21" s="127">
        <v>0</v>
      </c>
      <c r="K21" s="126">
        <v>1</v>
      </c>
      <c r="L21" s="125">
        <v>-2</v>
      </c>
      <c r="M21" s="126">
        <v>1</v>
      </c>
      <c r="N21" s="127">
        <v>0</v>
      </c>
      <c r="O21" s="126">
        <v>1</v>
      </c>
      <c r="P21" s="127">
        <v>0</v>
      </c>
      <c r="Q21" s="126">
        <v>1</v>
      </c>
      <c r="R21" s="127">
        <v>0</v>
      </c>
      <c r="S21" s="126">
        <v>1</v>
      </c>
      <c r="T21" s="127">
        <v>0</v>
      </c>
      <c r="U21" s="126">
        <v>1</v>
      </c>
      <c r="V21" s="127">
        <v>0</v>
      </c>
      <c r="W21" s="126">
        <v>1</v>
      </c>
      <c r="X21" s="127">
        <v>0</v>
      </c>
      <c r="Y21" s="126">
        <v>1</v>
      </c>
      <c r="Z21" s="127">
        <v>0</v>
      </c>
      <c r="AA21" s="126">
        <v>1</v>
      </c>
      <c r="AB21" s="126">
        <v>1</v>
      </c>
      <c r="AC21" s="126">
        <v>1</v>
      </c>
      <c r="AD21" s="127">
        <v>0</v>
      </c>
      <c r="AE21" s="126">
        <v>1</v>
      </c>
      <c r="AF21" s="127">
        <v>0</v>
      </c>
      <c r="AG21" s="126">
        <v>1</v>
      </c>
      <c r="AH21" s="127">
        <v>0</v>
      </c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19"/>
      <c r="BA21" s="24"/>
      <c r="BB21" s="24"/>
      <c r="BC21" s="24"/>
      <c r="BD21" s="24"/>
      <c r="BE21" s="67"/>
      <c r="BF21" s="124">
        <f t="shared" si="3"/>
        <v>31</v>
      </c>
      <c r="BG21" s="34">
        <f t="shared" si="4"/>
        <v>1</v>
      </c>
      <c r="BH21" s="34">
        <f t="shared" si="0"/>
        <v>32</v>
      </c>
      <c r="BI21" s="35">
        <f t="shared" si="1"/>
        <v>0.96875</v>
      </c>
      <c r="BJ21" s="124">
        <f t="shared" si="2"/>
        <v>1.3</v>
      </c>
    </row>
    <row r="22" spans="1:63" x14ac:dyDescent="0.25">
      <c r="A22" s="67">
        <v>20</v>
      </c>
      <c r="B22" s="2" t="s">
        <v>477</v>
      </c>
      <c r="C22" s="125">
        <v>-2</v>
      </c>
      <c r="D22" s="125">
        <v>-2</v>
      </c>
      <c r="E22" s="125">
        <v>-2</v>
      </c>
      <c r="F22" s="125">
        <v>-2</v>
      </c>
      <c r="G22" s="125">
        <v>-2</v>
      </c>
      <c r="H22" s="125">
        <v>-2</v>
      </c>
      <c r="I22" s="125">
        <v>-2</v>
      </c>
      <c r="J22" s="125">
        <v>-2</v>
      </c>
      <c r="K22" s="126">
        <v>1</v>
      </c>
      <c r="L22" s="125">
        <v>-2</v>
      </c>
      <c r="M22" s="126">
        <v>1</v>
      </c>
      <c r="N22" s="125">
        <v>-2</v>
      </c>
      <c r="O22" s="126">
        <v>1</v>
      </c>
      <c r="P22" s="125">
        <v>-2</v>
      </c>
      <c r="Q22" s="126">
        <v>1</v>
      </c>
      <c r="R22" s="125">
        <v>-2</v>
      </c>
      <c r="S22" s="126">
        <v>1</v>
      </c>
      <c r="T22" s="125">
        <v>-2</v>
      </c>
      <c r="U22" s="126">
        <v>1</v>
      </c>
      <c r="V22" s="125">
        <v>-2</v>
      </c>
      <c r="W22" s="126">
        <v>1</v>
      </c>
      <c r="X22" s="125">
        <v>-2</v>
      </c>
      <c r="Y22" s="126">
        <v>1</v>
      </c>
      <c r="Z22" s="125">
        <v>-2</v>
      </c>
      <c r="AA22" s="126">
        <v>1</v>
      </c>
      <c r="AB22" s="125">
        <v>-2</v>
      </c>
      <c r="AC22" s="126">
        <v>1</v>
      </c>
      <c r="AD22" s="125">
        <v>-2</v>
      </c>
      <c r="AE22" s="126">
        <v>1</v>
      </c>
      <c r="AF22" s="125">
        <v>-2</v>
      </c>
      <c r="AG22" s="126">
        <v>1</v>
      </c>
      <c r="AH22" s="125">
        <v>-2</v>
      </c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24"/>
      <c r="BB22" s="24"/>
      <c r="BC22" s="24"/>
      <c r="BD22" s="24"/>
      <c r="BE22" s="67"/>
      <c r="BF22" s="124">
        <f t="shared" si="3"/>
        <v>12</v>
      </c>
      <c r="BG22" s="34">
        <f t="shared" si="4"/>
        <v>20</v>
      </c>
      <c r="BH22" s="34">
        <f t="shared" si="0"/>
        <v>32</v>
      </c>
      <c r="BI22" s="35">
        <f t="shared" si="1"/>
        <v>0.375</v>
      </c>
      <c r="BJ22" s="124">
        <f t="shared" si="2"/>
        <v>-2.8000000000000003</v>
      </c>
    </row>
    <row r="23" spans="1:63" x14ac:dyDescent="0.25">
      <c r="A23" s="67">
        <v>21</v>
      </c>
      <c r="B23" s="2" t="s">
        <v>492</v>
      </c>
      <c r="C23" s="126">
        <v>1</v>
      </c>
      <c r="D23" s="135" t="s">
        <v>511</v>
      </c>
      <c r="E23" s="135" t="s">
        <v>511</v>
      </c>
      <c r="F23" s="126">
        <v>1</v>
      </c>
      <c r="G23" s="126">
        <v>1</v>
      </c>
      <c r="H23" s="126">
        <v>1</v>
      </c>
      <c r="I23" s="126">
        <v>1</v>
      </c>
      <c r="J23" s="126">
        <v>1</v>
      </c>
      <c r="K23" s="126">
        <v>1</v>
      </c>
      <c r="L23" s="127">
        <v>0</v>
      </c>
      <c r="M23" s="126">
        <v>1</v>
      </c>
      <c r="N23" s="126">
        <v>1</v>
      </c>
      <c r="O23" s="126">
        <v>1</v>
      </c>
      <c r="P23" s="126">
        <v>1</v>
      </c>
      <c r="Q23" s="126">
        <v>1</v>
      </c>
      <c r="R23" s="126">
        <v>1</v>
      </c>
      <c r="S23" s="126">
        <v>1</v>
      </c>
      <c r="T23" s="126">
        <v>1</v>
      </c>
      <c r="U23" s="126">
        <v>1</v>
      </c>
      <c r="V23" s="119" t="s">
        <v>511</v>
      </c>
      <c r="W23" s="126">
        <v>1</v>
      </c>
      <c r="X23" s="126">
        <v>1</v>
      </c>
      <c r="Y23" s="126">
        <v>1</v>
      </c>
      <c r="Z23" s="126">
        <v>1</v>
      </c>
      <c r="AA23" s="126">
        <v>1</v>
      </c>
      <c r="AB23" s="127">
        <v>0</v>
      </c>
      <c r="AC23" s="126">
        <v>1</v>
      </c>
      <c r="AD23" s="126">
        <v>1</v>
      </c>
      <c r="AE23" s="126">
        <v>1</v>
      </c>
      <c r="AF23" s="126">
        <v>1</v>
      </c>
      <c r="AG23" s="126">
        <v>1</v>
      </c>
      <c r="AH23" s="127">
        <v>0</v>
      </c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19"/>
      <c r="BA23" s="24"/>
      <c r="BB23" s="24"/>
      <c r="BC23" s="24"/>
      <c r="BD23" s="24"/>
      <c r="BE23" s="67"/>
      <c r="BF23" s="124">
        <f t="shared" si="3"/>
        <v>32</v>
      </c>
      <c r="BG23" s="34">
        <f t="shared" si="4"/>
        <v>0</v>
      </c>
      <c r="BH23" s="34">
        <f t="shared" si="0"/>
        <v>32</v>
      </c>
      <c r="BI23" s="35">
        <f t="shared" si="1"/>
        <v>1</v>
      </c>
      <c r="BJ23" s="124">
        <f t="shared" si="2"/>
        <v>2.6</v>
      </c>
    </row>
    <row r="24" spans="1:63" x14ac:dyDescent="0.25">
      <c r="A24" s="67">
        <v>22</v>
      </c>
      <c r="B24" s="2" t="s">
        <v>493</v>
      </c>
      <c r="C24" s="126">
        <v>1</v>
      </c>
      <c r="D24" s="127">
        <v>0</v>
      </c>
      <c r="E24" s="126">
        <v>1</v>
      </c>
      <c r="F24" s="126">
        <v>1</v>
      </c>
      <c r="G24" s="126">
        <v>1</v>
      </c>
      <c r="H24" s="126">
        <v>1</v>
      </c>
      <c r="I24" s="126">
        <v>1</v>
      </c>
      <c r="J24" s="126">
        <v>1</v>
      </c>
      <c r="K24" s="126">
        <v>1</v>
      </c>
      <c r="L24" s="127">
        <v>0</v>
      </c>
      <c r="M24" s="126">
        <v>1</v>
      </c>
      <c r="N24" s="127">
        <v>0</v>
      </c>
      <c r="O24" s="126">
        <v>1</v>
      </c>
      <c r="P24" s="127">
        <v>0</v>
      </c>
      <c r="Q24" s="126">
        <v>1</v>
      </c>
      <c r="R24" s="126">
        <v>1</v>
      </c>
      <c r="S24" s="126">
        <v>1</v>
      </c>
      <c r="T24" s="126">
        <v>1</v>
      </c>
      <c r="U24" s="126">
        <v>1</v>
      </c>
      <c r="V24" s="126">
        <v>1</v>
      </c>
      <c r="W24" s="126">
        <v>1</v>
      </c>
      <c r="X24" s="126">
        <v>1</v>
      </c>
      <c r="Y24" s="126">
        <v>1</v>
      </c>
      <c r="Z24" s="127">
        <v>0</v>
      </c>
      <c r="AA24" s="126">
        <v>1</v>
      </c>
      <c r="AB24" s="127">
        <v>0</v>
      </c>
      <c r="AC24" s="126">
        <v>1</v>
      </c>
      <c r="AD24" s="126">
        <v>1</v>
      </c>
      <c r="AE24" s="126">
        <v>1</v>
      </c>
      <c r="AF24" s="127">
        <v>0</v>
      </c>
      <c r="AG24" s="126">
        <v>1</v>
      </c>
      <c r="AH24" s="126">
        <v>1</v>
      </c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24"/>
      <c r="BB24" s="24"/>
      <c r="BC24" s="24"/>
      <c r="BD24" s="24"/>
      <c r="BE24" s="67"/>
      <c r="BF24" s="124">
        <f t="shared" si="3"/>
        <v>32</v>
      </c>
      <c r="BG24" s="34">
        <f t="shared" si="4"/>
        <v>0</v>
      </c>
      <c r="BH24" s="34">
        <f t="shared" si="0"/>
        <v>32</v>
      </c>
      <c r="BI24" s="35">
        <f t="shared" si="1"/>
        <v>1</v>
      </c>
      <c r="BJ24" s="124">
        <f t="shared" si="2"/>
        <v>2.5</v>
      </c>
    </row>
    <row r="25" spans="1:63" x14ac:dyDescent="0.25">
      <c r="A25" s="67">
        <v>23</v>
      </c>
      <c r="B25" s="2" t="s">
        <v>494</v>
      </c>
      <c r="C25" s="126">
        <v>1</v>
      </c>
      <c r="D25" s="127">
        <v>0</v>
      </c>
      <c r="E25" s="126">
        <v>1</v>
      </c>
      <c r="F25" s="125">
        <v>-2</v>
      </c>
      <c r="G25" s="125">
        <v>-2</v>
      </c>
      <c r="H25" s="126">
        <v>1</v>
      </c>
      <c r="I25" s="126">
        <v>1</v>
      </c>
      <c r="J25" s="127">
        <v>0</v>
      </c>
      <c r="K25" s="126">
        <v>1</v>
      </c>
      <c r="L25" s="127">
        <v>0</v>
      </c>
      <c r="M25" s="126">
        <v>1</v>
      </c>
      <c r="N25" s="125">
        <v>-2</v>
      </c>
      <c r="O25" s="126">
        <v>1</v>
      </c>
      <c r="P25" s="127">
        <v>0</v>
      </c>
      <c r="Q25" s="125">
        <v>-2</v>
      </c>
      <c r="R25" s="126">
        <v>1</v>
      </c>
      <c r="S25" s="125">
        <v>-2</v>
      </c>
      <c r="T25" s="126">
        <v>1</v>
      </c>
      <c r="U25" s="125">
        <v>-2</v>
      </c>
      <c r="V25" s="125">
        <v>-2</v>
      </c>
      <c r="W25" s="125">
        <v>-2</v>
      </c>
      <c r="X25" s="125">
        <v>-2</v>
      </c>
      <c r="Y25" s="125">
        <v>-2</v>
      </c>
      <c r="Z25" s="125">
        <v>-2</v>
      </c>
      <c r="AA25" s="125">
        <v>-2</v>
      </c>
      <c r="AB25" s="125">
        <v>-2</v>
      </c>
      <c r="AC25" s="125">
        <v>-2</v>
      </c>
      <c r="AD25" s="125">
        <v>-2</v>
      </c>
      <c r="AE25" s="125">
        <v>-2</v>
      </c>
      <c r="AF25" s="125">
        <v>-2</v>
      </c>
      <c r="AG25" s="125">
        <v>-2</v>
      </c>
      <c r="AH25" s="125">
        <v>-2</v>
      </c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24"/>
      <c r="BB25" s="24"/>
      <c r="BC25" s="24"/>
      <c r="BD25" s="24"/>
      <c r="BE25" s="67"/>
      <c r="BF25" s="124">
        <f t="shared" si="3"/>
        <v>13</v>
      </c>
      <c r="BG25" s="34">
        <f t="shared" si="4"/>
        <v>19</v>
      </c>
      <c r="BH25" s="34">
        <f t="shared" si="0"/>
        <v>32</v>
      </c>
      <c r="BI25" s="35">
        <f t="shared" si="1"/>
        <v>0.40625</v>
      </c>
      <c r="BJ25" s="124">
        <f t="shared" si="2"/>
        <v>-2.9000000000000004</v>
      </c>
      <c r="BK25" t="s">
        <v>50</v>
      </c>
    </row>
    <row r="26" spans="1:63" x14ac:dyDescent="0.25">
      <c r="A26" s="67">
        <v>24</v>
      </c>
      <c r="B26" s="2" t="s">
        <v>476</v>
      </c>
      <c r="C26" s="126">
        <v>1</v>
      </c>
      <c r="D26" s="127">
        <v>0</v>
      </c>
      <c r="E26" s="126">
        <v>1</v>
      </c>
      <c r="F26" s="125">
        <v>-2</v>
      </c>
      <c r="G26" s="125">
        <v>-2</v>
      </c>
      <c r="H26" s="125">
        <v>-2</v>
      </c>
      <c r="I26" s="126">
        <v>1</v>
      </c>
      <c r="J26" s="127">
        <v>0</v>
      </c>
      <c r="K26" s="125">
        <v>-2</v>
      </c>
      <c r="L26" s="125">
        <v>-2</v>
      </c>
      <c r="M26" s="126">
        <v>1</v>
      </c>
      <c r="N26" s="125">
        <v>-2</v>
      </c>
      <c r="O26" s="126">
        <v>1</v>
      </c>
      <c r="P26" s="125">
        <v>-2</v>
      </c>
      <c r="Q26" s="126">
        <v>1</v>
      </c>
      <c r="R26" s="125">
        <v>-2</v>
      </c>
      <c r="S26" s="125">
        <v>-2</v>
      </c>
      <c r="T26" s="125">
        <v>-2</v>
      </c>
      <c r="U26" s="125">
        <v>-2</v>
      </c>
      <c r="V26" s="127">
        <v>0</v>
      </c>
      <c r="W26" s="126">
        <v>1</v>
      </c>
      <c r="X26" s="127">
        <v>0</v>
      </c>
      <c r="Y26" s="125">
        <v>-2</v>
      </c>
      <c r="Z26" s="125">
        <v>-2</v>
      </c>
      <c r="AA26" s="125">
        <v>-2</v>
      </c>
      <c r="AB26" s="127">
        <v>0</v>
      </c>
      <c r="AC26" s="126">
        <v>1</v>
      </c>
      <c r="AD26" s="127">
        <v>0</v>
      </c>
      <c r="AE26" s="126">
        <v>1</v>
      </c>
      <c r="AF26" s="127">
        <v>0</v>
      </c>
      <c r="AG26" s="125">
        <v>-2</v>
      </c>
      <c r="AH26" s="125">
        <v>-2</v>
      </c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24"/>
      <c r="BB26" s="24"/>
      <c r="BC26" s="24"/>
      <c r="BD26" s="24"/>
      <c r="BE26" s="67"/>
      <c r="BF26" s="124">
        <f t="shared" si="3"/>
        <v>16</v>
      </c>
      <c r="BG26" s="34">
        <f t="shared" si="4"/>
        <v>16</v>
      </c>
      <c r="BH26" s="34">
        <f t="shared" si="0"/>
        <v>32</v>
      </c>
      <c r="BI26" s="35">
        <f t="shared" si="1"/>
        <v>0.5</v>
      </c>
      <c r="BJ26" s="124">
        <f t="shared" si="2"/>
        <v>-2.3000000000000003</v>
      </c>
    </row>
    <row r="27" spans="1:63" x14ac:dyDescent="0.25">
      <c r="A27" s="67">
        <v>25</v>
      </c>
      <c r="B27" s="2" t="s">
        <v>495</v>
      </c>
      <c r="C27" s="126">
        <v>1</v>
      </c>
      <c r="D27" s="126">
        <v>1</v>
      </c>
      <c r="E27" s="126">
        <v>1</v>
      </c>
      <c r="F27" s="127">
        <v>0</v>
      </c>
      <c r="G27" s="126">
        <v>1</v>
      </c>
      <c r="H27" s="126">
        <v>1</v>
      </c>
      <c r="I27" s="126">
        <v>1</v>
      </c>
      <c r="J27" s="126">
        <v>1</v>
      </c>
      <c r="K27" s="126">
        <v>1</v>
      </c>
      <c r="L27" s="126">
        <v>1</v>
      </c>
      <c r="M27" s="126">
        <v>1</v>
      </c>
      <c r="N27" s="126">
        <v>1</v>
      </c>
      <c r="O27" s="126">
        <v>1</v>
      </c>
      <c r="P27" s="127">
        <v>0</v>
      </c>
      <c r="Q27" s="126">
        <v>1</v>
      </c>
      <c r="R27" s="127">
        <v>0</v>
      </c>
      <c r="S27" s="126">
        <v>1</v>
      </c>
      <c r="T27" s="126">
        <v>1</v>
      </c>
      <c r="U27" s="126">
        <v>1</v>
      </c>
      <c r="V27" s="126">
        <v>1</v>
      </c>
      <c r="W27" s="126">
        <v>1</v>
      </c>
      <c r="X27" s="126">
        <v>1</v>
      </c>
      <c r="Y27" s="126">
        <v>1</v>
      </c>
      <c r="Z27" s="126">
        <v>1</v>
      </c>
      <c r="AA27" s="126">
        <v>1</v>
      </c>
      <c r="AB27" s="126">
        <v>1</v>
      </c>
      <c r="AC27" s="126">
        <v>1</v>
      </c>
      <c r="AD27" s="126">
        <v>1</v>
      </c>
      <c r="AE27" s="126">
        <v>1</v>
      </c>
      <c r="AF27" s="126">
        <v>1</v>
      </c>
      <c r="AG27" s="126">
        <v>1</v>
      </c>
      <c r="AH27" s="126">
        <v>1</v>
      </c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24"/>
      <c r="BB27" s="24"/>
      <c r="BC27" s="24"/>
      <c r="BD27" s="24"/>
      <c r="BE27" s="67"/>
      <c r="BF27" s="124">
        <f t="shared" si="3"/>
        <v>32</v>
      </c>
      <c r="BG27" s="34">
        <f t="shared" si="4"/>
        <v>0</v>
      </c>
      <c r="BH27" s="34">
        <f t="shared" si="0"/>
        <v>32</v>
      </c>
      <c r="BI27" s="35">
        <f t="shared" si="1"/>
        <v>1</v>
      </c>
      <c r="BJ27" s="124">
        <f t="shared" si="2"/>
        <v>2.9000000000000004</v>
      </c>
    </row>
    <row r="28" spans="1:63" x14ac:dyDescent="0.25">
      <c r="A28" s="67">
        <v>26</v>
      </c>
      <c r="B28" s="2" t="s">
        <v>496</v>
      </c>
      <c r="C28" s="126">
        <v>1</v>
      </c>
      <c r="D28" s="127">
        <v>0</v>
      </c>
      <c r="E28" s="126">
        <v>1</v>
      </c>
      <c r="F28" s="126">
        <v>1</v>
      </c>
      <c r="G28" s="126">
        <v>1</v>
      </c>
      <c r="H28" s="135" t="s">
        <v>525</v>
      </c>
      <c r="I28" s="126">
        <v>1</v>
      </c>
      <c r="J28" s="127">
        <v>0</v>
      </c>
      <c r="K28" s="126">
        <v>1</v>
      </c>
      <c r="L28" s="126">
        <v>1</v>
      </c>
      <c r="M28" s="126">
        <v>1</v>
      </c>
      <c r="N28" s="127">
        <v>0</v>
      </c>
      <c r="O28" s="126">
        <v>1</v>
      </c>
      <c r="P28" s="126">
        <v>1</v>
      </c>
      <c r="Q28" s="126">
        <v>1</v>
      </c>
      <c r="R28" s="127">
        <v>0</v>
      </c>
      <c r="S28" s="126">
        <v>1</v>
      </c>
      <c r="T28" s="126">
        <v>1</v>
      </c>
      <c r="U28" s="126">
        <v>1</v>
      </c>
      <c r="V28" s="127">
        <v>0</v>
      </c>
      <c r="W28" s="126">
        <v>1</v>
      </c>
      <c r="X28" s="127">
        <v>0</v>
      </c>
      <c r="Y28" s="126">
        <v>1</v>
      </c>
      <c r="Z28" s="126">
        <v>1</v>
      </c>
      <c r="AA28" s="126">
        <v>1</v>
      </c>
      <c r="AB28" s="126">
        <v>1</v>
      </c>
      <c r="AC28" s="126">
        <v>1</v>
      </c>
      <c r="AD28" s="127">
        <v>0</v>
      </c>
      <c r="AE28" s="126">
        <v>1</v>
      </c>
      <c r="AF28" s="127">
        <v>0</v>
      </c>
      <c r="AG28" s="126">
        <v>1</v>
      </c>
      <c r="AH28" s="126">
        <v>1</v>
      </c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24"/>
      <c r="BB28" s="24"/>
      <c r="BC28" s="24"/>
      <c r="BD28" s="24"/>
      <c r="BE28" s="67"/>
      <c r="BF28" s="124">
        <f t="shared" si="3"/>
        <v>32</v>
      </c>
      <c r="BG28" s="34">
        <f t="shared" si="4"/>
        <v>0</v>
      </c>
      <c r="BH28" s="34">
        <f t="shared" si="0"/>
        <v>32</v>
      </c>
      <c r="BI28" s="35">
        <f t="shared" si="1"/>
        <v>1</v>
      </c>
      <c r="BJ28" s="124">
        <f t="shared" si="2"/>
        <v>2.3000000000000003</v>
      </c>
    </row>
    <row r="29" spans="1:63" x14ac:dyDescent="0.25">
      <c r="A29" s="67">
        <v>27</v>
      </c>
      <c r="B29" s="2" t="s">
        <v>472</v>
      </c>
      <c r="C29" s="127">
        <v>0</v>
      </c>
      <c r="D29" s="127">
        <v>0</v>
      </c>
      <c r="E29" s="127">
        <v>0</v>
      </c>
      <c r="F29" s="127">
        <v>0</v>
      </c>
      <c r="G29" s="127">
        <v>0</v>
      </c>
      <c r="H29" s="127">
        <v>0</v>
      </c>
      <c r="I29" s="127">
        <v>0</v>
      </c>
      <c r="J29" s="127">
        <v>0</v>
      </c>
      <c r="K29" s="127">
        <v>0</v>
      </c>
      <c r="L29" s="127">
        <v>0</v>
      </c>
      <c r="M29" s="127">
        <v>0</v>
      </c>
      <c r="N29" s="127">
        <v>0</v>
      </c>
      <c r="O29" s="127">
        <v>0</v>
      </c>
      <c r="P29" s="127">
        <v>0</v>
      </c>
      <c r="Q29" s="127">
        <v>0</v>
      </c>
      <c r="R29" s="127">
        <v>0</v>
      </c>
      <c r="S29" s="127">
        <v>0</v>
      </c>
      <c r="T29" s="127">
        <v>0</v>
      </c>
      <c r="U29" s="127">
        <v>0</v>
      </c>
      <c r="V29" s="127">
        <v>0</v>
      </c>
      <c r="W29" s="127">
        <v>0</v>
      </c>
      <c r="X29" s="127">
        <v>0</v>
      </c>
      <c r="Y29" s="127">
        <v>0</v>
      </c>
      <c r="Z29" s="127">
        <v>0</v>
      </c>
      <c r="AA29" s="127">
        <v>0</v>
      </c>
      <c r="AB29" s="127">
        <v>0</v>
      </c>
      <c r="AC29" s="127">
        <v>0</v>
      </c>
      <c r="AD29" s="127">
        <v>0</v>
      </c>
      <c r="AE29" s="127">
        <v>0</v>
      </c>
      <c r="AF29" s="127">
        <v>0</v>
      </c>
      <c r="AG29" s="127">
        <v>0</v>
      </c>
      <c r="AH29" s="127">
        <v>0</v>
      </c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  <c r="AZ29" s="119"/>
      <c r="BA29" s="24"/>
      <c r="BB29" s="24"/>
      <c r="BC29" s="24"/>
      <c r="BD29" s="24"/>
      <c r="BE29" s="67"/>
      <c r="BF29" s="124">
        <f t="shared" si="3"/>
        <v>32</v>
      </c>
      <c r="BG29" s="34">
        <f t="shared" si="4"/>
        <v>0</v>
      </c>
      <c r="BH29" s="34">
        <f t="shared" si="0"/>
        <v>32</v>
      </c>
      <c r="BI29" s="35">
        <f t="shared" si="1"/>
        <v>1</v>
      </c>
      <c r="BJ29" s="124">
        <f t="shared" si="2"/>
        <v>0</v>
      </c>
    </row>
    <row r="30" spans="1:63" x14ac:dyDescent="0.25">
      <c r="A30" s="67">
        <v>28</v>
      </c>
      <c r="B30" s="2" t="s">
        <v>497</v>
      </c>
      <c r="C30" s="126">
        <v>1</v>
      </c>
      <c r="D30" s="127">
        <v>0</v>
      </c>
      <c r="E30" s="126">
        <v>1</v>
      </c>
      <c r="F30" s="126">
        <v>1</v>
      </c>
      <c r="G30" s="126">
        <v>1</v>
      </c>
      <c r="H30" s="135" t="s">
        <v>525</v>
      </c>
      <c r="I30" s="126">
        <v>1</v>
      </c>
      <c r="J30" s="126">
        <v>1</v>
      </c>
      <c r="K30" s="126">
        <v>1</v>
      </c>
      <c r="L30" s="127">
        <v>0</v>
      </c>
      <c r="M30" s="126">
        <v>1</v>
      </c>
      <c r="N30" s="127">
        <v>0</v>
      </c>
      <c r="O30" s="126">
        <v>1</v>
      </c>
      <c r="P30" s="126">
        <v>1</v>
      </c>
      <c r="Q30" s="126">
        <v>1</v>
      </c>
      <c r="R30" s="126">
        <v>1</v>
      </c>
      <c r="S30" s="126">
        <v>1</v>
      </c>
      <c r="T30" s="127">
        <v>0</v>
      </c>
      <c r="U30" s="125">
        <v>-2</v>
      </c>
      <c r="V30" s="126">
        <v>1</v>
      </c>
      <c r="W30" s="119" t="s">
        <v>511</v>
      </c>
      <c r="X30" s="126">
        <v>1</v>
      </c>
      <c r="Y30" s="126">
        <v>1</v>
      </c>
      <c r="Z30" s="126">
        <v>1</v>
      </c>
      <c r="AA30" s="126">
        <v>1</v>
      </c>
      <c r="AB30" s="126">
        <v>1</v>
      </c>
      <c r="AC30" s="125">
        <v>-2</v>
      </c>
      <c r="AD30" s="127">
        <v>0</v>
      </c>
      <c r="AE30" s="126">
        <v>1</v>
      </c>
      <c r="AF30" s="127">
        <v>0</v>
      </c>
      <c r="AG30" s="125">
        <v>-2</v>
      </c>
      <c r="AH30" s="126">
        <v>1</v>
      </c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24"/>
      <c r="BB30" s="24"/>
      <c r="BC30" s="24"/>
      <c r="BD30" s="24"/>
      <c r="BE30" s="67"/>
      <c r="BF30" s="124">
        <f t="shared" si="3"/>
        <v>29</v>
      </c>
      <c r="BG30" s="34">
        <f t="shared" si="4"/>
        <v>3</v>
      </c>
      <c r="BH30" s="34">
        <f t="shared" si="0"/>
        <v>32</v>
      </c>
      <c r="BI30" s="35">
        <f t="shared" si="1"/>
        <v>0.90625</v>
      </c>
      <c r="BJ30" s="124">
        <f t="shared" si="2"/>
        <v>1.5</v>
      </c>
    </row>
    <row r="31" spans="1:63" x14ac:dyDescent="0.25">
      <c r="A31" s="67">
        <v>29</v>
      </c>
      <c r="B31" s="124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24"/>
      <c r="BB31" s="24"/>
      <c r="BC31" s="24"/>
      <c r="BD31" s="24"/>
      <c r="BE31" s="67"/>
      <c r="BF31" s="124">
        <f t="shared" si="3"/>
        <v>0</v>
      </c>
      <c r="BG31" s="34">
        <f t="shared" si="4"/>
        <v>0</v>
      </c>
      <c r="BH31" s="34">
        <f t="shared" si="0"/>
        <v>0</v>
      </c>
      <c r="BI31" s="35">
        <f t="shared" si="1"/>
        <v>0</v>
      </c>
      <c r="BJ31" s="124">
        <f t="shared" si="2"/>
        <v>0</v>
      </c>
    </row>
    <row r="32" spans="1:63" x14ac:dyDescent="0.25">
      <c r="A32" s="67">
        <v>30</v>
      </c>
      <c r="B32" s="124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24"/>
      <c r="BB32" s="24"/>
      <c r="BC32" s="24"/>
      <c r="BD32" s="24"/>
      <c r="BE32" s="67"/>
      <c r="BF32" s="124">
        <f t="shared" si="3"/>
        <v>0</v>
      </c>
      <c r="BG32" s="34">
        <f t="shared" si="4"/>
        <v>0</v>
      </c>
      <c r="BH32" s="34">
        <f t="shared" si="0"/>
        <v>0</v>
      </c>
      <c r="BI32" s="35">
        <f t="shared" si="1"/>
        <v>0</v>
      </c>
      <c r="BJ32" s="124">
        <f t="shared" si="2"/>
        <v>0</v>
      </c>
    </row>
    <row r="33" spans="1:62" ht="30" x14ac:dyDescent="0.25">
      <c r="A33" s="67"/>
      <c r="B33" s="65" t="s">
        <v>124</v>
      </c>
      <c r="C33" s="84">
        <v>42621</v>
      </c>
      <c r="D33" s="86">
        <v>42627</v>
      </c>
      <c r="E33" s="84">
        <v>42628</v>
      </c>
      <c r="F33" s="86">
        <v>42634</v>
      </c>
      <c r="G33" s="84">
        <v>42635</v>
      </c>
      <c r="H33" s="86">
        <v>42641</v>
      </c>
      <c r="I33" s="84">
        <v>42642</v>
      </c>
      <c r="J33" s="86">
        <v>42648</v>
      </c>
      <c r="K33" s="84">
        <v>42649</v>
      </c>
      <c r="L33" s="86">
        <v>42655</v>
      </c>
      <c r="M33" s="84">
        <v>42656</v>
      </c>
      <c r="N33" s="86">
        <v>42662</v>
      </c>
      <c r="O33" s="84">
        <v>42663</v>
      </c>
      <c r="P33" s="86">
        <v>42669</v>
      </c>
      <c r="Q33" s="84">
        <v>42670</v>
      </c>
      <c r="R33" s="86">
        <v>42676</v>
      </c>
      <c r="S33" s="84">
        <v>42677</v>
      </c>
      <c r="T33" s="86">
        <v>42683</v>
      </c>
      <c r="U33" s="84">
        <v>42684</v>
      </c>
      <c r="V33" s="86">
        <v>42690</v>
      </c>
      <c r="W33" s="84">
        <v>42691</v>
      </c>
      <c r="X33" s="86">
        <v>42697</v>
      </c>
      <c r="Y33" s="84">
        <v>42698</v>
      </c>
      <c r="Z33" s="86">
        <v>42704</v>
      </c>
      <c r="AA33" s="84">
        <v>42705</v>
      </c>
      <c r="AB33" s="86">
        <v>42711</v>
      </c>
      <c r="AC33" s="84">
        <v>42712</v>
      </c>
      <c r="AD33" s="86">
        <v>42718</v>
      </c>
      <c r="AE33" s="84">
        <v>42719</v>
      </c>
      <c r="AF33" s="86">
        <v>42725</v>
      </c>
      <c r="AG33" s="84">
        <v>42726</v>
      </c>
      <c r="AH33" s="86">
        <v>42732</v>
      </c>
      <c r="AI33" s="86">
        <v>42494</v>
      </c>
      <c r="AJ33" s="84">
        <v>42494</v>
      </c>
      <c r="AK33" s="86">
        <v>42495</v>
      </c>
      <c r="AL33" s="86">
        <v>42501</v>
      </c>
      <c r="AM33" s="84">
        <v>42501</v>
      </c>
      <c r="AN33" s="86">
        <v>42508</v>
      </c>
      <c r="AO33" s="84">
        <v>42508</v>
      </c>
      <c r="AP33" s="86">
        <v>42509</v>
      </c>
      <c r="AQ33" s="86">
        <v>42515</v>
      </c>
      <c r="AR33" s="84">
        <v>41782</v>
      </c>
      <c r="AS33" s="88">
        <v>41785</v>
      </c>
      <c r="AT33" s="86">
        <v>41788</v>
      </c>
      <c r="AU33" s="84">
        <v>41789</v>
      </c>
      <c r="AV33" s="88">
        <v>41792</v>
      </c>
      <c r="AW33" s="86">
        <v>41795</v>
      </c>
      <c r="AX33" s="84">
        <v>41796</v>
      </c>
      <c r="AY33" s="86">
        <v>41799</v>
      </c>
      <c r="AZ33" s="86">
        <v>41800</v>
      </c>
      <c r="BE33" s="32"/>
      <c r="BF33" s="3"/>
      <c r="BG33" s="34"/>
      <c r="BH33" s="79" t="s">
        <v>223</v>
      </c>
      <c r="BI33" s="4" t="s">
        <v>44</v>
      </c>
      <c r="BJ33" s="3" t="s">
        <v>16</v>
      </c>
    </row>
    <row r="34" spans="1:62" x14ac:dyDescent="0.25">
      <c r="A34" s="67">
        <v>1</v>
      </c>
      <c r="B34" s="2" t="s">
        <v>422</v>
      </c>
      <c r="C34" s="126">
        <v>1</v>
      </c>
      <c r="D34" s="127">
        <v>0</v>
      </c>
      <c r="E34" s="126">
        <v>1</v>
      </c>
      <c r="F34" s="125">
        <v>-2</v>
      </c>
      <c r="G34" s="126">
        <v>1</v>
      </c>
      <c r="H34" s="127">
        <v>0</v>
      </c>
      <c r="I34" s="126">
        <v>1</v>
      </c>
      <c r="J34" s="127">
        <v>0</v>
      </c>
      <c r="K34" s="126">
        <v>1</v>
      </c>
      <c r="L34" s="127">
        <v>0</v>
      </c>
      <c r="M34" s="126">
        <v>1</v>
      </c>
      <c r="N34" s="126">
        <v>1</v>
      </c>
      <c r="O34" s="126">
        <v>1</v>
      </c>
      <c r="P34" s="126">
        <v>1</v>
      </c>
      <c r="Q34" s="126">
        <v>1</v>
      </c>
      <c r="R34" s="125">
        <v>-2</v>
      </c>
      <c r="S34" s="126">
        <v>1</v>
      </c>
      <c r="T34" s="125">
        <v>-2</v>
      </c>
      <c r="U34" s="126">
        <v>1</v>
      </c>
      <c r="V34" s="127">
        <v>0</v>
      </c>
      <c r="W34" s="126">
        <v>1</v>
      </c>
      <c r="X34" s="125">
        <v>-2</v>
      </c>
      <c r="Y34" s="126">
        <v>1</v>
      </c>
      <c r="Z34" s="126">
        <v>1</v>
      </c>
      <c r="AA34" s="126">
        <v>1</v>
      </c>
      <c r="AB34" s="127">
        <v>0</v>
      </c>
      <c r="AC34" s="126">
        <v>1</v>
      </c>
      <c r="AD34" s="127">
        <v>0</v>
      </c>
      <c r="AE34" s="126">
        <v>1</v>
      </c>
      <c r="AF34" s="126">
        <v>1</v>
      </c>
      <c r="AG34" s="126">
        <v>1</v>
      </c>
      <c r="AH34" s="127">
        <v>0</v>
      </c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24"/>
      <c r="BB34" s="24"/>
      <c r="BC34" s="24"/>
      <c r="BD34" s="24"/>
      <c r="BE34" s="67"/>
      <c r="BF34" s="3">
        <f t="shared" ref="BF34:BF63" si="5">CalculatePresence(C34:BE34)</f>
        <v>28</v>
      </c>
      <c r="BG34" s="34">
        <f t="shared" ref="BG34:BG63" si="6">CalculateAbsence(C34:BE34)</f>
        <v>4</v>
      </c>
      <c r="BH34" s="34">
        <f>BF34+BG34</f>
        <v>32</v>
      </c>
      <c r="BI34" s="35">
        <f t="shared" ref="BI34:BI63" si="7">BF34/(IF(BH34&gt;0,BH34,1))</f>
        <v>0.875</v>
      </c>
      <c r="BJ34" s="3">
        <f t="shared" ref="BJ34:BJ63" si="8">SUM(C34:BE34)*0.1</f>
        <v>1.2000000000000002</v>
      </c>
    </row>
    <row r="35" spans="1:62" x14ac:dyDescent="0.25">
      <c r="A35" s="67">
        <v>2</v>
      </c>
      <c r="B35" s="2" t="s">
        <v>423</v>
      </c>
      <c r="C35" s="126">
        <v>1</v>
      </c>
      <c r="D35" s="127">
        <v>0</v>
      </c>
      <c r="E35" s="126">
        <v>1</v>
      </c>
      <c r="F35" s="125">
        <v>-2</v>
      </c>
      <c r="G35" s="125">
        <v>-2</v>
      </c>
      <c r="H35" s="125">
        <v>-2</v>
      </c>
      <c r="I35" s="126">
        <v>1</v>
      </c>
      <c r="J35" s="125">
        <v>-2</v>
      </c>
      <c r="K35" s="126">
        <v>1</v>
      </c>
      <c r="L35" s="125">
        <v>-2</v>
      </c>
      <c r="M35" s="125">
        <v>-2</v>
      </c>
      <c r="N35" s="125">
        <v>-2</v>
      </c>
      <c r="O35" s="126">
        <v>1</v>
      </c>
      <c r="P35" s="125">
        <v>-2</v>
      </c>
      <c r="Q35" s="126">
        <v>1</v>
      </c>
      <c r="R35" s="125">
        <v>-2</v>
      </c>
      <c r="S35" s="125">
        <v>-2</v>
      </c>
      <c r="T35" s="125">
        <v>-2</v>
      </c>
      <c r="U35" s="126">
        <v>1</v>
      </c>
      <c r="V35" s="125">
        <v>-2</v>
      </c>
      <c r="W35" s="125">
        <v>-2</v>
      </c>
      <c r="X35" s="125">
        <v>-2</v>
      </c>
      <c r="Y35" s="125">
        <v>-2</v>
      </c>
      <c r="Z35" s="125">
        <v>-2</v>
      </c>
      <c r="AA35" s="125">
        <v>-2</v>
      </c>
      <c r="AB35" s="125">
        <v>-2</v>
      </c>
      <c r="AC35" s="126">
        <v>1</v>
      </c>
      <c r="AD35" s="125">
        <v>-2</v>
      </c>
      <c r="AE35" s="125">
        <v>-2</v>
      </c>
      <c r="AF35" s="125">
        <v>-2</v>
      </c>
      <c r="AG35" s="125">
        <v>-2</v>
      </c>
      <c r="AH35" s="125">
        <v>-2</v>
      </c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  <c r="AZ35" s="119"/>
      <c r="BA35" s="24"/>
      <c r="BB35" s="24"/>
      <c r="BC35" s="24"/>
      <c r="BD35" s="24"/>
      <c r="BE35" s="67"/>
      <c r="BF35" s="124">
        <f t="shared" ref="BF35:BF48" si="9">CalculatePresence(C35:BE35)</f>
        <v>9</v>
      </c>
      <c r="BG35" s="34">
        <f t="shared" ref="BG35:BG48" si="10">CalculateAbsence(C35:BE35)</f>
        <v>23</v>
      </c>
      <c r="BH35" s="34">
        <f t="shared" ref="BH35:BH48" si="11">BF35+BG35</f>
        <v>32</v>
      </c>
      <c r="BI35" s="35">
        <f t="shared" ref="BI35:BI48" si="12">BF35/(IF(BH35&gt;0,BH35,1))</f>
        <v>0.28125</v>
      </c>
      <c r="BJ35" s="124">
        <f t="shared" ref="BJ35:BJ48" si="13">SUM(C35:BE35)*0.1</f>
        <v>-3.8000000000000003</v>
      </c>
    </row>
    <row r="36" spans="1:62" x14ac:dyDescent="0.25">
      <c r="A36" s="67">
        <v>3</v>
      </c>
      <c r="B36" s="2" t="s">
        <v>424</v>
      </c>
      <c r="C36" s="126">
        <v>1</v>
      </c>
      <c r="D36" s="127">
        <v>0</v>
      </c>
      <c r="E36" s="126">
        <v>1</v>
      </c>
      <c r="F36" s="127">
        <v>0</v>
      </c>
      <c r="G36" s="126">
        <v>1</v>
      </c>
      <c r="H36" s="127">
        <v>0</v>
      </c>
      <c r="I36" s="126">
        <v>1</v>
      </c>
      <c r="J36" s="127">
        <v>0</v>
      </c>
      <c r="K36" s="126">
        <v>1</v>
      </c>
      <c r="L36" s="125">
        <v>-2</v>
      </c>
      <c r="M36" s="126">
        <v>1</v>
      </c>
      <c r="N36" s="127">
        <v>0</v>
      </c>
      <c r="O36" s="126">
        <v>1</v>
      </c>
      <c r="P36" s="125">
        <v>-2</v>
      </c>
      <c r="Q36" s="126">
        <v>1</v>
      </c>
      <c r="R36" s="125">
        <v>-2</v>
      </c>
      <c r="S36" s="126">
        <v>1</v>
      </c>
      <c r="T36" s="125">
        <v>-2</v>
      </c>
      <c r="U36" s="126">
        <v>1</v>
      </c>
      <c r="V36" s="125">
        <v>-2</v>
      </c>
      <c r="W36" s="126">
        <v>1</v>
      </c>
      <c r="X36" s="125">
        <v>-2</v>
      </c>
      <c r="Y36" s="126">
        <v>1</v>
      </c>
      <c r="Z36" s="125">
        <v>-2</v>
      </c>
      <c r="AA36" s="125">
        <v>-2</v>
      </c>
      <c r="AB36" s="125">
        <v>-2</v>
      </c>
      <c r="AC36" s="125">
        <v>-2</v>
      </c>
      <c r="AD36" s="125">
        <v>-2</v>
      </c>
      <c r="AE36" s="125">
        <v>-2</v>
      </c>
      <c r="AF36" s="125">
        <v>-2</v>
      </c>
      <c r="AG36" s="125">
        <v>-2</v>
      </c>
      <c r="AH36" s="125">
        <v>-2</v>
      </c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24"/>
      <c r="BB36" s="24"/>
      <c r="BC36" s="24"/>
      <c r="BD36" s="24"/>
      <c r="BE36" s="67"/>
      <c r="BF36" s="124">
        <f t="shared" si="9"/>
        <v>17</v>
      </c>
      <c r="BG36" s="34">
        <f t="shared" si="10"/>
        <v>15</v>
      </c>
      <c r="BH36" s="34">
        <f t="shared" si="11"/>
        <v>32</v>
      </c>
      <c r="BI36" s="35">
        <f t="shared" si="12"/>
        <v>0.53125</v>
      </c>
      <c r="BJ36" s="124">
        <f t="shared" si="13"/>
        <v>-1.8</v>
      </c>
    </row>
    <row r="37" spans="1:62" x14ac:dyDescent="0.25">
      <c r="A37" s="67">
        <v>4</v>
      </c>
      <c r="B37" s="2" t="s">
        <v>425</v>
      </c>
      <c r="C37" s="125">
        <v>-2</v>
      </c>
      <c r="D37" s="125">
        <v>-2</v>
      </c>
      <c r="E37" s="126">
        <v>1</v>
      </c>
      <c r="F37" s="125">
        <v>-2</v>
      </c>
      <c r="G37" s="126">
        <v>1</v>
      </c>
      <c r="H37" s="135" t="s">
        <v>525</v>
      </c>
      <c r="I37" s="125">
        <v>-2</v>
      </c>
      <c r="J37" s="125">
        <v>-2</v>
      </c>
      <c r="K37" s="125">
        <v>-2</v>
      </c>
      <c r="L37" s="125">
        <v>-2</v>
      </c>
      <c r="M37" s="126">
        <v>1</v>
      </c>
      <c r="N37" s="125">
        <v>-2</v>
      </c>
      <c r="O37" s="125">
        <v>-2</v>
      </c>
      <c r="P37" s="125">
        <v>-2</v>
      </c>
      <c r="Q37" s="126">
        <v>1</v>
      </c>
      <c r="R37" s="125">
        <v>-2</v>
      </c>
      <c r="S37" s="126">
        <v>1</v>
      </c>
      <c r="T37" s="125">
        <v>-2</v>
      </c>
      <c r="U37" s="126">
        <v>1</v>
      </c>
      <c r="V37" s="127">
        <v>0</v>
      </c>
      <c r="W37" s="126">
        <v>1</v>
      </c>
      <c r="X37" s="127">
        <v>0</v>
      </c>
      <c r="Y37" s="125">
        <v>-2</v>
      </c>
      <c r="Z37" s="127">
        <v>0</v>
      </c>
      <c r="AA37" s="126">
        <v>1</v>
      </c>
      <c r="AB37" s="125">
        <v>-2</v>
      </c>
      <c r="AC37" s="126">
        <v>1</v>
      </c>
      <c r="AD37" s="127">
        <v>0</v>
      </c>
      <c r="AE37" s="126">
        <v>1</v>
      </c>
      <c r="AF37" s="125">
        <v>-2</v>
      </c>
      <c r="AG37" s="126">
        <v>1</v>
      </c>
      <c r="AH37" s="125">
        <v>-2</v>
      </c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24"/>
      <c r="BB37" s="24"/>
      <c r="BC37" s="24"/>
      <c r="BD37" s="24"/>
      <c r="BE37" s="67"/>
      <c r="BF37" s="124">
        <f t="shared" si="9"/>
        <v>16</v>
      </c>
      <c r="BG37" s="34">
        <f t="shared" si="10"/>
        <v>16</v>
      </c>
      <c r="BH37" s="34">
        <f t="shared" si="11"/>
        <v>32</v>
      </c>
      <c r="BI37" s="35">
        <f t="shared" si="12"/>
        <v>0.5</v>
      </c>
      <c r="BJ37" s="124">
        <f t="shared" si="13"/>
        <v>-2.1</v>
      </c>
    </row>
    <row r="38" spans="1:62" x14ac:dyDescent="0.25">
      <c r="A38" s="67">
        <v>5</v>
      </c>
      <c r="B38" s="2" t="s">
        <v>426</v>
      </c>
      <c r="C38" s="126">
        <v>1</v>
      </c>
      <c r="D38" s="127">
        <v>0</v>
      </c>
      <c r="E38" s="126">
        <v>1</v>
      </c>
      <c r="F38" s="127">
        <v>0</v>
      </c>
      <c r="G38" s="126">
        <v>1</v>
      </c>
      <c r="H38" s="127">
        <v>0</v>
      </c>
      <c r="I38" s="126">
        <v>1</v>
      </c>
      <c r="J38" s="127">
        <v>0</v>
      </c>
      <c r="K38" s="126">
        <v>1</v>
      </c>
      <c r="L38" s="127">
        <v>0</v>
      </c>
      <c r="M38" s="126">
        <v>1</v>
      </c>
      <c r="N38" s="127">
        <v>0</v>
      </c>
      <c r="O38" s="126">
        <v>1</v>
      </c>
      <c r="P38" s="127">
        <v>0</v>
      </c>
      <c r="Q38" s="126">
        <v>1</v>
      </c>
      <c r="R38" s="126">
        <v>1</v>
      </c>
      <c r="S38" s="126">
        <v>1</v>
      </c>
      <c r="T38" s="127">
        <v>0</v>
      </c>
      <c r="U38" s="126">
        <v>1</v>
      </c>
      <c r="V38" s="127">
        <v>0</v>
      </c>
      <c r="W38" s="126">
        <v>1</v>
      </c>
      <c r="X38" s="127">
        <v>0</v>
      </c>
      <c r="Y38" s="126">
        <v>1</v>
      </c>
      <c r="Z38" s="126">
        <v>1</v>
      </c>
      <c r="AA38" s="126">
        <v>1</v>
      </c>
      <c r="AB38" s="127">
        <v>0</v>
      </c>
      <c r="AC38" s="126">
        <v>1</v>
      </c>
      <c r="AD38" s="127">
        <v>0</v>
      </c>
      <c r="AE38" s="126">
        <v>1</v>
      </c>
      <c r="AF38" s="127">
        <v>0</v>
      </c>
      <c r="AG38" s="126">
        <v>1</v>
      </c>
      <c r="AH38" s="127">
        <v>0</v>
      </c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24"/>
      <c r="BB38" s="24"/>
      <c r="BC38" s="24"/>
      <c r="BD38" s="24"/>
      <c r="BE38" s="67"/>
      <c r="BF38" s="124">
        <f t="shared" si="9"/>
        <v>32</v>
      </c>
      <c r="BG38" s="34">
        <f t="shared" si="10"/>
        <v>0</v>
      </c>
      <c r="BH38" s="34">
        <f t="shared" si="11"/>
        <v>32</v>
      </c>
      <c r="BI38" s="35">
        <f t="shared" si="12"/>
        <v>1</v>
      </c>
      <c r="BJ38" s="124">
        <f t="shared" si="13"/>
        <v>1.8</v>
      </c>
    </row>
    <row r="39" spans="1:62" x14ac:dyDescent="0.25">
      <c r="A39" s="67">
        <v>6</v>
      </c>
      <c r="B39" s="2" t="s">
        <v>427</v>
      </c>
      <c r="C39" s="126">
        <v>1</v>
      </c>
      <c r="D39" s="126">
        <v>1</v>
      </c>
      <c r="E39" s="125">
        <v>-2</v>
      </c>
      <c r="F39" s="126">
        <v>1</v>
      </c>
      <c r="G39" s="125">
        <v>-2</v>
      </c>
      <c r="H39" s="126">
        <v>1</v>
      </c>
      <c r="I39" s="126">
        <v>1</v>
      </c>
      <c r="J39" s="126">
        <v>1</v>
      </c>
      <c r="K39" s="125">
        <v>-2</v>
      </c>
      <c r="L39" s="126">
        <v>1</v>
      </c>
      <c r="M39" s="126">
        <v>1</v>
      </c>
      <c r="N39" s="127">
        <v>0</v>
      </c>
      <c r="O39" s="125">
        <v>-2</v>
      </c>
      <c r="P39" s="126">
        <v>1</v>
      </c>
      <c r="Q39" s="125">
        <v>-2</v>
      </c>
      <c r="R39" s="126">
        <v>1</v>
      </c>
      <c r="S39" s="126">
        <v>1</v>
      </c>
      <c r="T39" s="126">
        <v>1</v>
      </c>
      <c r="U39" s="125">
        <v>-2</v>
      </c>
      <c r="V39" s="127">
        <v>0</v>
      </c>
      <c r="W39" s="125">
        <v>-2</v>
      </c>
      <c r="X39" s="126">
        <v>1</v>
      </c>
      <c r="Y39" s="125">
        <v>-2</v>
      </c>
      <c r="Z39" s="126">
        <v>1</v>
      </c>
      <c r="AA39" s="126">
        <v>1</v>
      </c>
      <c r="AB39" s="126">
        <v>1</v>
      </c>
      <c r="AC39" s="125">
        <v>-2</v>
      </c>
      <c r="AD39" s="127">
        <v>0</v>
      </c>
      <c r="AE39" s="125">
        <v>-2</v>
      </c>
      <c r="AF39" s="127">
        <v>0</v>
      </c>
      <c r="AG39" s="125">
        <v>-2</v>
      </c>
      <c r="AH39" s="126">
        <v>1</v>
      </c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24"/>
      <c r="BB39" s="24"/>
      <c r="BC39" s="24"/>
      <c r="BD39" s="24"/>
      <c r="BE39" s="67"/>
      <c r="BF39" s="124">
        <f t="shared" si="9"/>
        <v>21</v>
      </c>
      <c r="BG39" s="34">
        <f t="shared" si="10"/>
        <v>11</v>
      </c>
      <c r="BH39" s="34">
        <f t="shared" si="11"/>
        <v>32</v>
      </c>
      <c r="BI39" s="35">
        <f t="shared" si="12"/>
        <v>0.65625</v>
      </c>
      <c r="BJ39" s="124">
        <f t="shared" si="13"/>
        <v>-0.5</v>
      </c>
    </row>
    <row r="40" spans="1:62" x14ac:dyDescent="0.25">
      <c r="A40" s="67">
        <v>7</v>
      </c>
      <c r="B40" s="2" t="s">
        <v>428</v>
      </c>
      <c r="C40" s="126">
        <v>1</v>
      </c>
      <c r="D40" s="125">
        <v>-2</v>
      </c>
      <c r="E40" s="125">
        <v>-2</v>
      </c>
      <c r="F40" s="127">
        <v>0</v>
      </c>
      <c r="G40" s="126">
        <v>1</v>
      </c>
      <c r="H40" s="125">
        <v>-2</v>
      </c>
      <c r="I40" s="126">
        <v>1</v>
      </c>
      <c r="J40" s="127">
        <v>0</v>
      </c>
      <c r="K40" s="125">
        <v>-2</v>
      </c>
      <c r="L40" s="126">
        <v>1</v>
      </c>
      <c r="M40" s="126">
        <v>1</v>
      </c>
      <c r="N40" s="127">
        <v>0</v>
      </c>
      <c r="O40" s="126">
        <v>1</v>
      </c>
      <c r="P40" s="126">
        <v>1</v>
      </c>
      <c r="Q40" s="126">
        <v>1</v>
      </c>
      <c r="R40" s="126">
        <v>1</v>
      </c>
      <c r="S40" s="126">
        <v>1</v>
      </c>
      <c r="T40" s="125">
        <v>-2</v>
      </c>
      <c r="U40" s="126">
        <v>1</v>
      </c>
      <c r="V40" s="127">
        <v>0</v>
      </c>
      <c r="W40" s="126">
        <v>1</v>
      </c>
      <c r="X40" s="126">
        <v>1</v>
      </c>
      <c r="Y40" s="125">
        <v>-2</v>
      </c>
      <c r="Z40" s="125">
        <v>-2</v>
      </c>
      <c r="AA40" s="126">
        <v>1</v>
      </c>
      <c r="AB40" s="126">
        <v>1</v>
      </c>
      <c r="AC40" s="125">
        <v>-2</v>
      </c>
      <c r="AD40" s="127">
        <v>0</v>
      </c>
      <c r="AE40" s="126">
        <v>1</v>
      </c>
      <c r="AF40" s="127">
        <v>0</v>
      </c>
      <c r="AG40" s="125">
        <v>-2</v>
      </c>
      <c r="AH40" s="126">
        <v>1</v>
      </c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24"/>
      <c r="BB40" s="24"/>
      <c r="BC40" s="24"/>
      <c r="BD40" s="24"/>
      <c r="BE40" s="67"/>
      <c r="BF40" s="124">
        <f t="shared" si="9"/>
        <v>23</v>
      </c>
      <c r="BG40" s="34">
        <f t="shared" si="10"/>
        <v>9</v>
      </c>
      <c r="BH40" s="34">
        <f t="shared" si="11"/>
        <v>32</v>
      </c>
      <c r="BI40" s="35">
        <f t="shared" si="12"/>
        <v>0.71875</v>
      </c>
      <c r="BJ40" s="124">
        <f t="shared" si="13"/>
        <v>-0.1</v>
      </c>
    </row>
    <row r="41" spans="1:62" x14ac:dyDescent="0.25">
      <c r="A41" s="67">
        <v>8</v>
      </c>
      <c r="B41" s="2" t="s">
        <v>429</v>
      </c>
      <c r="C41" s="126">
        <v>1</v>
      </c>
      <c r="D41" s="127">
        <v>0</v>
      </c>
      <c r="E41" s="125">
        <v>-2</v>
      </c>
      <c r="F41" s="127">
        <v>0</v>
      </c>
      <c r="G41" s="125">
        <v>-2</v>
      </c>
      <c r="H41" s="127">
        <v>0</v>
      </c>
      <c r="I41" s="126">
        <v>1</v>
      </c>
      <c r="J41" s="125">
        <v>-2</v>
      </c>
      <c r="K41" s="126">
        <v>1</v>
      </c>
      <c r="L41" s="127">
        <v>0</v>
      </c>
      <c r="M41" s="126">
        <v>1</v>
      </c>
      <c r="N41" s="127">
        <v>0</v>
      </c>
      <c r="O41" s="126">
        <v>1</v>
      </c>
      <c r="P41" s="125">
        <v>-2</v>
      </c>
      <c r="Q41" s="126">
        <v>1</v>
      </c>
      <c r="R41" s="125">
        <v>-2</v>
      </c>
      <c r="S41" s="126">
        <v>1</v>
      </c>
      <c r="T41" s="125">
        <v>-2</v>
      </c>
      <c r="U41" s="126">
        <v>1</v>
      </c>
      <c r="V41" s="127">
        <v>0</v>
      </c>
      <c r="W41" s="126">
        <v>1</v>
      </c>
      <c r="X41" s="125">
        <v>-2</v>
      </c>
      <c r="Y41" s="126">
        <v>1</v>
      </c>
      <c r="Z41" s="125">
        <v>-2</v>
      </c>
      <c r="AA41" s="125">
        <v>-2</v>
      </c>
      <c r="AB41" s="125">
        <v>-2</v>
      </c>
      <c r="AC41" s="126">
        <v>1</v>
      </c>
      <c r="AD41" s="125">
        <v>-2</v>
      </c>
      <c r="AE41" s="125">
        <v>-2</v>
      </c>
      <c r="AF41" s="125">
        <v>-2</v>
      </c>
      <c r="AG41" s="126">
        <v>1</v>
      </c>
      <c r="AH41" s="125">
        <v>-2</v>
      </c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9"/>
      <c r="AT41" s="119"/>
      <c r="AU41" s="119"/>
      <c r="AV41" s="119"/>
      <c r="AW41" s="119"/>
      <c r="AX41" s="119"/>
      <c r="AY41" s="119"/>
      <c r="AZ41" s="119"/>
      <c r="BA41" s="24"/>
      <c r="BB41" s="24"/>
      <c r="BC41" s="24"/>
      <c r="BD41" s="24"/>
      <c r="BE41" s="67"/>
      <c r="BF41" s="124">
        <f t="shared" si="9"/>
        <v>18</v>
      </c>
      <c r="BG41" s="34">
        <f t="shared" si="10"/>
        <v>14</v>
      </c>
      <c r="BH41" s="34">
        <f t="shared" si="11"/>
        <v>32</v>
      </c>
      <c r="BI41" s="35">
        <f t="shared" si="12"/>
        <v>0.5625</v>
      </c>
      <c r="BJ41" s="124">
        <f t="shared" si="13"/>
        <v>-1.6</v>
      </c>
    </row>
    <row r="42" spans="1:62" x14ac:dyDescent="0.25">
      <c r="A42" s="67">
        <v>9</v>
      </c>
      <c r="B42" s="2" t="s">
        <v>430</v>
      </c>
      <c r="C42" s="126">
        <v>1</v>
      </c>
      <c r="D42" s="127">
        <v>0</v>
      </c>
      <c r="E42" s="126">
        <v>1</v>
      </c>
      <c r="F42" s="125">
        <v>-2</v>
      </c>
      <c r="G42" s="126">
        <v>1</v>
      </c>
      <c r="H42" s="127">
        <v>0</v>
      </c>
      <c r="I42" s="126">
        <v>1</v>
      </c>
      <c r="J42" s="127">
        <v>0</v>
      </c>
      <c r="K42" s="126">
        <v>1</v>
      </c>
      <c r="L42" s="127">
        <v>0</v>
      </c>
      <c r="M42" s="126">
        <v>1</v>
      </c>
      <c r="N42" s="125">
        <v>-2</v>
      </c>
      <c r="O42" s="126">
        <v>1</v>
      </c>
      <c r="P42" s="125">
        <v>-2</v>
      </c>
      <c r="Q42" s="125">
        <v>-2</v>
      </c>
      <c r="R42" s="127">
        <v>0</v>
      </c>
      <c r="S42" s="125">
        <v>-2</v>
      </c>
      <c r="T42" s="125">
        <v>-2</v>
      </c>
      <c r="U42" s="125">
        <v>-2</v>
      </c>
      <c r="V42" s="125">
        <v>-2</v>
      </c>
      <c r="W42" s="125">
        <v>-2</v>
      </c>
      <c r="X42" s="125">
        <v>-2</v>
      </c>
      <c r="Y42" s="125">
        <v>-2</v>
      </c>
      <c r="Z42" s="125">
        <v>-2</v>
      </c>
      <c r="AA42" s="125">
        <v>-2</v>
      </c>
      <c r="AB42" s="125">
        <v>-2</v>
      </c>
      <c r="AC42" s="125">
        <v>-2</v>
      </c>
      <c r="AD42" s="125">
        <v>-2</v>
      </c>
      <c r="AE42" s="125">
        <v>-2</v>
      </c>
      <c r="AF42" s="125">
        <v>-2</v>
      </c>
      <c r="AG42" s="125">
        <v>-2</v>
      </c>
      <c r="AH42" s="125">
        <v>-2</v>
      </c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24"/>
      <c r="BB42" s="24"/>
      <c r="BC42" s="24"/>
      <c r="BD42" s="24"/>
      <c r="BE42" s="67"/>
      <c r="BF42" s="124">
        <f t="shared" si="9"/>
        <v>12</v>
      </c>
      <c r="BG42" s="34">
        <f t="shared" si="10"/>
        <v>20</v>
      </c>
      <c r="BH42" s="34">
        <f t="shared" si="11"/>
        <v>32</v>
      </c>
      <c r="BI42" s="35">
        <f t="shared" si="12"/>
        <v>0.375</v>
      </c>
      <c r="BJ42" s="124">
        <f t="shared" si="13"/>
        <v>-3.3000000000000003</v>
      </c>
    </row>
    <row r="43" spans="1:62" x14ac:dyDescent="0.25">
      <c r="A43" s="67">
        <v>10</v>
      </c>
      <c r="B43" s="2" t="s">
        <v>431</v>
      </c>
      <c r="C43" s="126">
        <v>1</v>
      </c>
      <c r="D43" s="125">
        <v>-2</v>
      </c>
      <c r="E43" s="126">
        <v>1</v>
      </c>
      <c r="F43" s="126">
        <v>1</v>
      </c>
      <c r="G43" s="126">
        <v>1</v>
      </c>
      <c r="H43" s="126">
        <v>1</v>
      </c>
      <c r="I43" s="126">
        <v>1</v>
      </c>
      <c r="J43" s="126">
        <v>1</v>
      </c>
      <c r="K43" s="126">
        <v>1</v>
      </c>
      <c r="L43" s="126">
        <v>1</v>
      </c>
      <c r="M43" s="126">
        <v>1</v>
      </c>
      <c r="N43" s="127">
        <v>0</v>
      </c>
      <c r="O43" s="126">
        <v>1</v>
      </c>
      <c r="P43" s="127">
        <v>0</v>
      </c>
      <c r="Q43" s="126">
        <v>1</v>
      </c>
      <c r="R43" s="126">
        <v>1</v>
      </c>
      <c r="S43" s="126">
        <v>1</v>
      </c>
      <c r="T43" s="126">
        <v>1</v>
      </c>
      <c r="U43" s="126">
        <v>1</v>
      </c>
      <c r="V43" s="126">
        <v>1</v>
      </c>
      <c r="W43" s="126">
        <v>1</v>
      </c>
      <c r="X43" s="126">
        <v>1</v>
      </c>
      <c r="Y43" s="126">
        <v>1</v>
      </c>
      <c r="Z43" s="126">
        <v>1</v>
      </c>
      <c r="AA43" s="126">
        <v>1</v>
      </c>
      <c r="AB43" s="127">
        <v>0</v>
      </c>
      <c r="AC43" s="126">
        <v>1</v>
      </c>
      <c r="AD43" s="126">
        <v>1</v>
      </c>
      <c r="AE43" s="126">
        <v>1</v>
      </c>
      <c r="AF43" s="126">
        <v>1</v>
      </c>
      <c r="AG43" s="126">
        <v>1</v>
      </c>
      <c r="AH43" s="126">
        <v>1</v>
      </c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24"/>
      <c r="BB43" s="24"/>
      <c r="BC43" s="24"/>
      <c r="BD43" s="24"/>
      <c r="BE43" s="67"/>
      <c r="BF43" s="124">
        <f t="shared" si="9"/>
        <v>31</v>
      </c>
      <c r="BG43" s="34">
        <f t="shared" si="10"/>
        <v>1</v>
      </c>
      <c r="BH43" s="34">
        <f t="shared" si="11"/>
        <v>32</v>
      </c>
      <c r="BI43" s="35">
        <f t="shared" si="12"/>
        <v>0.96875</v>
      </c>
      <c r="BJ43" s="124">
        <f t="shared" si="13"/>
        <v>2.6</v>
      </c>
    </row>
    <row r="44" spans="1:62" x14ac:dyDescent="0.25">
      <c r="A44" s="67">
        <v>11</v>
      </c>
      <c r="B44" s="2" t="s">
        <v>432</v>
      </c>
      <c r="C44" s="125">
        <v>-2</v>
      </c>
      <c r="D44" s="127">
        <v>0</v>
      </c>
      <c r="E44" s="125">
        <v>-2</v>
      </c>
      <c r="F44" s="125">
        <v>-2</v>
      </c>
      <c r="G44" s="126">
        <v>1</v>
      </c>
      <c r="H44" s="125">
        <v>-2</v>
      </c>
      <c r="I44" s="125">
        <v>-2</v>
      </c>
      <c r="J44" s="125">
        <v>-2</v>
      </c>
      <c r="K44" s="126">
        <v>1</v>
      </c>
      <c r="L44" s="125">
        <v>-2</v>
      </c>
      <c r="M44" s="126">
        <v>1</v>
      </c>
      <c r="N44" s="125">
        <v>-2</v>
      </c>
      <c r="O44" s="125">
        <v>-2</v>
      </c>
      <c r="P44" s="125">
        <v>-2</v>
      </c>
      <c r="Q44" s="125">
        <v>-2</v>
      </c>
      <c r="R44" s="125">
        <v>-2</v>
      </c>
      <c r="S44" s="125">
        <v>-2</v>
      </c>
      <c r="T44" s="125">
        <v>-2</v>
      </c>
      <c r="U44" s="125">
        <v>-2</v>
      </c>
      <c r="V44" s="125">
        <v>-2</v>
      </c>
      <c r="W44" s="125">
        <v>-2</v>
      </c>
      <c r="X44" s="125">
        <v>-2</v>
      </c>
      <c r="Y44" s="125">
        <v>-2</v>
      </c>
      <c r="Z44" s="125">
        <v>-2</v>
      </c>
      <c r="AA44" s="125">
        <v>-2</v>
      </c>
      <c r="AB44" s="125">
        <v>-2</v>
      </c>
      <c r="AC44" s="125">
        <v>-2</v>
      </c>
      <c r="AD44" s="125">
        <v>-2</v>
      </c>
      <c r="AE44" s="125">
        <v>-2</v>
      </c>
      <c r="AF44" s="125">
        <v>-2</v>
      </c>
      <c r="AG44" s="125">
        <v>-2</v>
      </c>
      <c r="AH44" s="125">
        <v>-2</v>
      </c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24"/>
      <c r="BB44" s="24"/>
      <c r="BC44" s="24"/>
      <c r="BD44" s="24"/>
      <c r="BE44" s="67"/>
      <c r="BF44" s="124">
        <f t="shared" si="9"/>
        <v>4</v>
      </c>
      <c r="BG44" s="34">
        <f t="shared" si="10"/>
        <v>28</v>
      </c>
      <c r="BH44" s="34">
        <f t="shared" si="11"/>
        <v>32</v>
      </c>
      <c r="BI44" s="35">
        <f t="shared" si="12"/>
        <v>0.125</v>
      </c>
      <c r="BJ44" s="124">
        <f t="shared" si="13"/>
        <v>-5.3000000000000007</v>
      </c>
    </row>
    <row r="45" spans="1:62" x14ac:dyDescent="0.25">
      <c r="A45" s="67">
        <v>12</v>
      </c>
      <c r="B45" s="2" t="s">
        <v>433</v>
      </c>
      <c r="C45" s="126">
        <v>1</v>
      </c>
      <c r="D45" s="127">
        <v>0</v>
      </c>
      <c r="E45" s="125">
        <v>-2</v>
      </c>
      <c r="F45" s="125">
        <v>-2</v>
      </c>
      <c r="G45" s="126">
        <v>1</v>
      </c>
      <c r="H45" s="125">
        <v>-2</v>
      </c>
      <c r="I45" s="125">
        <v>-2</v>
      </c>
      <c r="J45" s="125">
        <v>-2</v>
      </c>
      <c r="K45" s="126">
        <v>1</v>
      </c>
      <c r="L45" s="125">
        <v>-2</v>
      </c>
      <c r="M45" s="125">
        <v>-2</v>
      </c>
      <c r="N45" s="125">
        <v>-2</v>
      </c>
      <c r="O45" s="125">
        <v>-2</v>
      </c>
      <c r="P45" s="125">
        <v>-2</v>
      </c>
      <c r="Q45" s="125">
        <v>-2</v>
      </c>
      <c r="R45" s="125">
        <v>-2</v>
      </c>
      <c r="S45" s="125">
        <v>-2</v>
      </c>
      <c r="T45" s="125">
        <v>-2</v>
      </c>
      <c r="U45" s="125">
        <v>-2</v>
      </c>
      <c r="V45" s="125">
        <v>-2</v>
      </c>
      <c r="W45" s="125">
        <v>-2</v>
      </c>
      <c r="X45" s="125">
        <v>-2</v>
      </c>
      <c r="Y45" s="125">
        <v>-2</v>
      </c>
      <c r="Z45" s="125">
        <v>-2</v>
      </c>
      <c r="AA45" s="125">
        <v>-2</v>
      </c>
      <c r="AB45" s="125">
        <v>-2</v>
      </c>
      <c r="AC45" s="125">
        <v>-2</v>
      </c>
      <c r="AD45" s="125">
        <v>-2</v>
      </c>
      <c r="AE45" s="125">
        <v>-2</v>
      </c>
      <c r="AF45" s="125">
        <v>-2</v>
      </c>
      <c r="AG45" s="125">
        <v>-2</v>
      </c>
      <c r="AH45" s="125">
        <v>-2</v>
      </c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24"/>
      <c r="BB45" s="24"/>
      <c r="BC45" s="24"/>
      <c r="BD45" s="24"/>
      <c r="BE45" s="67"/>
      <c r="BF45" s="124">
        <f t="shared" si="9"/>
        <v>4</v>
      </c>
      <c r="BG45" s="34">
        <f t="shared" si="10"/>
        <v>28</v>
      </c>
      <c r="BH45" s="34">
        <f t="shared" si="11"/>
        <v>32</v>
      </c>
      <c r="BI45" s="35">
        <f t="shared" si="12"/>
        <v>0.125</v>
      </c>
      <c r="BJ45" s="124">
        <f t="shared" si="13"/>
        <v>-5.3000000000000007</v>
      </c>
    </row>
    <row r="46" spans="1:62" x14ac:dyDescent="0.25">
      <c r="A46" s="67">
        <v>13</v>
      </c>
      <c r="B46" s="2" t="s">
        <v>434</v>
      </c>
      <c r="C46" s="126">
        <v>1</v>
      </c>
      <c r="D46" s="127">
        <v>0</v>
      </c>
      <c r="E46" s="126">
        <v>1</v>
      </c>
      <c r="F46" s="127">
        <v>0</v>
      </c>
      <c r="G46" s="126">
        <v>1</v>
      </c>
      <c r="H46" s="135" t="s">
        <v>525</v>
      </c>
      <c r="I46" s="126">
        <v>1</v>
      </c>
      <c r="J46" s="127">
        <v>0</v>
      </c>
      <c r="K46" s="126">
        <v>1</v>
      </c>
      <c r="L46" s="125">
        <v>-2</v>
      </c>
      <c r="M46" s="126">
        <v>1</v>
      </c>
      <c r="N46" s="125">
        <v>-2</v>
      </c>
      <c r="O46" s="126">
        <v>1</v>
      </c>
      <c r="P46" s="125">
        <v>-2</v>
      </c>
      <c r="Q46" s="126">
        <v>1</v>
      </c>
      <c r="R46" s="125">
        <v>-2</v>
      </c>
      <c r="S46" s="126">
        <v>1</v>
      </c>
      <c r="T46" s="125">
        <v>-2</v>
      </c>
      <c r="U46" s="126">
        <v>1</v>
      </c>
      <c r="V46" s="125">
        <v>-2</v>
      </c>
      <c r="W46" s="126">
        <v>1</v>
      </c>
      <c r="X46" s="125">
        <v>-2</v>
      </c>
      <c r="Y46" s="125">
        <v>-2</v>
      </c>
      <c r="Z46" s="125">
        <v>-2</v>
      </c>
      <c r="AA46" s="125">
        <v>-2</v>
      </c>
      <c r="AB46" s="125">
        <v>-2</v>
      </c>
      <c r="AC46" s="125">
        <v>-2</v>
      </c>
      <c r="AD46" s="125">
        <v>-2</v>
      </c>
      <c r="AE46" s="125">
        <v>-2</v>
      </c>
      <c r="AF46" s="125">
        <v>-2</v>
      </c>
      <c r="AG46" s="125">
        <v>-2</v>
      </c>
      <c r="AH46" s="125">
        <v>-2</v>
      </c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19"/>
      <c r="AV46" s="119"/>
      <c r="AW46" s="119"/>
      <c r="AX46" s="119"/>
      <c r="AY46" s="119"/>
      <c r="AZ46" s="119"/>
      <c r="BA46" s="24"/>
      <c r="BB46" s="24"/>
      <c r="BC46" s="24"/>
      <c r="BD46" s="24"/>
      <c r="BE46" s="67"/>
      <c r="BF46" s="124">
        <f t="shared" si="9"/>
        <v>15</v>
      </c>
      <c r="BG46" s="34">
        <f t="shared" si="10"/>
        <v>17</v>
      </c>
      <c r="BH46" s="34">
        <f t="shared" si="11"/>
        <v>32</v>
      </c>
      <c r="BI46" s="35">
        <f t="shared" si="12"/>
        <v>0.46875</v>
      </c>
      <c r="BJ46" s="124">
        <f t="shared" si="13"/>
        <v>-2.3000000000000003</v>
      </c>
    </row>
    <row r="47" spans="1:62" x14ac:dyDescent="0.25">
      <c r="A47" s="67">
        <v>14</v>
      </c>
      <c r="B47" s="2" t="s">
        <v>435</v>
      </c>
      <c r="C47" s="125">
        <v>-2</v>
      </c>
      <c r="D47" s="125">
        <v>-2</v>
      </c>
      <c r="E47" s="125">
        <v>-2</v>
      </c>
      <c r="F47" s="125">
        <v>-2</v>
      </c>
      <c r="G47" s="125">
        <v>-2</v>
      </c>
      <c r="H47" s="125">
        <v>-2</v>
      </c>
      <c r="I47" s="125">
        <v>-2</v>
      </c>
      <c r="J47" s="125">
        <v>-2</v>
      </c>
      <c r="K47" s="125">
        <v>-2</v>
      </c>
      <c r="L47" s="125">
        <v>-2</v>
      </c>
      <c r="M47" s="125">
        <v>-2</v>
      </c>
      <c r="N47" s="125">
        <v>-2</v>
      </c>
      <c r="O47" s="125">
        <v>-2</v>
      </c>
      <c r="P47" s="125">
        <v>-2</v>
      </c>
      <c r="Q47" s="125">
        <v>-2</v>
      </c>
      <c r="R47" s="125">
        <v>-2</v>
      </c>
      <c r="S47" s="125">
        <v>-2</v>
      </c>
      <c r="T47" s="125">
        <v>-2</v>
      </c>
      <c r="U47" s="125">
        <v>-2</v>
      </c>
      <c r="V47" s="125">
        <v>-2</v>
      </c>
      <c r="W47" s="125">
        <v>-2</v>
      </c>
      <c r="X47" s="125">
        <v>-2</v>
      </c>
      <c r="Y47" s="125">
        <v>-2</v>
      </c>
      <c r="Z47" s="125">
        <v>-2</v>
      </c>
      <c r="AA47" s="125">
        <v>-2</v>
      </c>
      <c r="AB47" s="125">
        <v>-2</v>
      </c>
      <c r="AC47" s="125">
        <v>-2</v>
      </c>
      <c r="AD47" s="125">
        <v>-2</v>
      </c>
      <c r="AE47" s="125">
        <v>-2</v>
      </c>
      <c r="AF47" s="125">
        <v>-2</v>
      </c>
      <c r="AG47" s="125">
        <v>-2</v>
      </c>
      <c r="AH47" s="125">
        <v>-2</v>
      </c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24"/>
      <c r="BB47" s="24"/>
      <c r="BC47" s="24"/>
      <c r="BD47" s="24"/>
      <c r="BE47" s="67"/>
      <c r="BF47" s="124">
        <f t="shared" si="9"/>
        <v>0</v>
      </c>
      <c r="BG47" s="34">
        <f t="shared" si="10"/>
        <v>32</v>
      </c>
      <c r="BH47" s="34">
        <f t="shared" si="11"/>
        <v>32</v>
      </c>
      <c r="BI47" s="35">
        <f t="shared" si="12"/>
        <v>0</v>
      </c>
      <c r="BJ47" s="124">
        <f t="shared" si="13"/>
        <v>-6.4</v>
      </c>
    </row>
    <row r="48" spans="1:62" x14ac:dyDescent="0.25">
      <c r="A48" s="67">
        <v>15</v>
      </c>
      <c r="B48" s="2" t="s">
        <v>436</v>
      </c>
      <c r="C48" s="126">
        <v>1</v>
      </c>
      <c r="D48" s="127">
        <v>0</v>
      </c>
      <c r="E48" s="126">
        <v>1</v>
      </c>
      <c r="F48" s="127">
        <v>0</v>
      </c>
      <c r="G48" s="126">
        <v>1</v>
      </c>
      <c r="H48" s="127">
        <v>0</v>
      </c>
      <c r="I48" s="126">
        <v>1</v>
      </c>
      <c r="J48" s="127">
        <v>0</v>
      </c>
      <c r="K48" s="126">
        <v>1</v>
      </c>
      <c r="L48" s="126">
        <v>1</v>
      </c>
      <c r="M48" s="126">
        <v>1</v>
      </c>
      <c r="N48" s="127">
        <v>0</v>
      </c>
      <c r="O48" s="126">
        <v>1</v>
      </c>
      <c r="P48" s="127">
        <v>0</v>
      </c>
      <c r="Q48" s="126">
        <v>1</v>
      </c>
      <c r="R48" s="126">
        <v>1</v>
      </c>
      <c r="S48" s="125">
        <v>-2</v>
      </c>
      <c r="T48" s="127">
        <v>0</v>
      </c>
      <c r="U48" s="126">
        <v>1</v>
      </c>
      <c r="V48" s="126">
        <v>1</v>
      </c>
      <c r="W48" s="126">
        <v>1</v>
      </c>
      <c r="X48" s="126">
        <v>1</v>
      </c>
      <c r="Y48" s="126">
        <v>1</v>
      </c>
      <c r="Z48" s="127">
        <v>0</v>
      </c>
      <c r="AA48" s="125">
        <v>-2</v>
      </c>
      <c r="AB48" s="126">
        <v>1</v>
      </c>
      <c r="AC48" s="125">
        <v>-2</v>
      </c>
      <c r="AD48" s="127">
        <v>0</v>
      </c>
      <c r="AE48" s="126">
        <v>1</v>
      </c>
      <c r="AF48" s="126">
        <v>1</v>
      </c>
      <c r="AG48" s="126">
        <v>1</v>
      </c>
      <c r="AH48" s="126">
        <v>1</v>
      </c>
      <c r="AI48" s="119"/>
      <c r="AJ48" s="119"/>
      <c r="AK48" s="119"/>
      <c r="AL48" s="119"/>
      <c r="AM48" s="119"/>
      <c r="AN48" s="119"/>
      <c r="AO48" s="119"/>
      <c r="AP48" s="119"/>
      <c r="AQ48" s="119"/>
      <c r="AR48" s="119"/>
      <c r="AS48" s="119"/>
      <c r="AT48" s="119"/>
      <c r="AU48" s="119"/>
      <c r="AV48" s="119"/>
      <c r="AW48" s="119"/>
      <c r="AX48" s="119"/>
      <c r="AY48" s="119"/>
      <c r="AZ48" s="119"/>
      <c r="BA48" s="24"/>
      <c r="BB48" s="24"/>
      <c r="BC48" s="24"/>
      <c r="BD48" s="24"/>
      <c r="BE48" s="67"/>
      <c r="BF48" s="124">
        <f t="shared" si="9"/>
        <v>29</v>
      </c>
      <c r="BG48" s="34">
        <f t="shared" si="10"/>
        <v>3</v>
      </c>
      <c r="BH48" s="34">
        <f t="shared" si="11"/>
        <v>32</v>
      </c>
      <c r="BI48" s="35">
        <f t="shared" si="12"/>
        <v>0.90625</v>
      </c>
      <c r="BJ48" s="124">
        <f t="shared" si="13"/>
        <v>1.4000000000000001</v>
      </c>
    </row>
    <row r="49" spans="1:62" x14ac:dyDescent="0.25">
      <c r="A49" s="67">
        <v>16</v>
      </c>
      <c r="B49" s="2" t="s">
        <v>437</v>
      </c>
      <c r="C49" s="126">
        <v>1</v>
      </c>
      <c r="D49" s="125">
        <v>-2</v>
      </c>
      <c r="E49" s="125">
        <v>-2</v>
      </c>
      <c r="F49" s="125">
        <v>-2</v>
      </c>
      <c r="G49" s="125">
        <v>-2</v>
      </c>
      <c r="H49" s="125">
        <v>-2</v>
      </c>
      <c r="I49" s="125">
        <v>-2</v>
      </c>
      <c r="J49" s="125">
        <v>-2</v>
      </c>
      <c r="K49" s="125">
        <v>-2</v>
      </c>
      <c r="L49" s="125">
        <v>-2</v>
      </c>
      <c r="M49" s="125">
        <v>-2</v>
      </c>
      <c r="N49" s="125">
        <v>-2</v>
      </c>
      <c r="O49" s="125">
        <v>-2</v>
      </c>
      <c r="P49" s="125">
        <v>-2</v>
      </c>
      <c r="Q49" s="125">
        <v>-2</v>
      </c>
      <c r="R49" s="125">
        <v>-2</v>
      </c>
      <c r="S49" s="125">
        <v>-2</v>
      </c>
      <c r="T49" s="125">
        <v>-2</v>
      </c>
      <c r="U49" s="125">
        <v>-2</v>
      </c>
      <c r="V49" s="125">
        <v>-2</v>
      </c>
      <c r="W49" s="125">
        <v>-2</v>
      </c>
      <c r="X49" s="125">
        <v>-2</v>
      </c>
      <c r="Y49" s="125">
        <v>-2</v>
      </c>
      <c r="Z49" s="125">
        <v>-2</v>
      </c>
      <c r="AA49" s="125">
        <v>-2</v>
      </c>
      <c r="AB49" s="125">
        <v>-2</v>
      </c>
      <c r="AC49" s="125">
        <v>-2</v>
      </c>
      <c r="AD49" s="125">
        <v>-2</v>
      </c>
      <c r="AE49" s="125">
        <v>-2</v>
      </c>
      <c r="AF49" s="125">
        <v>-2</v>
      </c>
      <c r="AG49" s="125">
        <v>-2</v>
      </c>
      <c r="AH49" s="125">
        <v>-2</v>
      </c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  <c r="AZ49" s="119"/>
      <c r="BA49" s="24"/>
      <c r="BB49" s="24"/>
      <c r="BC49" s="24"/>
      <c r="BD49" s="24"/>
      <c r="BE49" s="67"/>
      <c r="BF49" s="3">
        <f t="shared" si="5"/>
        <v>1</v>
      </c>
      <c r="BG49" s="34">
        <f t="shared" si="6"/>
        <v>31</v>
      </c>
      <c r="BH49" s="34">
        <f t="shared" ref="BH49:BH63" si="14">BF49+BG49</f>
        <v>32</v>
      </c>
      <c r="BI49" s="35">
        <f t="shared" si="7"/>
        <v>3.125E-2</v>
      </c>
      <c r="BJ49" s="3">
        <f t="shared" si="8"/>
        <v>-6.1000000000000005</v>
      </c>
    </row>
    <row r="50" spans="1:62" x14ac:dyDescent="0.25">
      <c r="A50" s="67">
        <v>17</v>
      </c>
      <c r="B50" s="2" t="s">
        <v>438</v>
      </c>
      <c r="C50" s="126">
        <v>1</v>
      </c>
      <c r="D50" s="127">
        <v>0</v>
      </c>
      <c r="E50" s="126">
        <v>1</v>
      </c>
      <c r="F50" s="127">
        <v>0</v>
      </c>
      <c r="G50" s="126">
        <v>1</v>
      </c>
      <c r="H50" s="125">
        <v>-2</v>
      </c>
      <c r="I50" s="126">
        <v>1</v>
      </c>
      <c r="J50" s="125">
        <v>-2</v>
      </c>
      <c r="K50" s="125">
        <v>-2</v>
      </c>
      <c r="L50" s="127">
        <v>0</v>
      </c>
      <c r="M50" s="126">
        <v>1</v>
      </c>
      <c r="N50" s="127">
        <v>0</v>
      </c>
      <c r="O50" s="126">
        <v>1</v>
      </c>
      <c r="P50" s="126">
        <v>1</v>
      </c>
      <c r="Q50" s="125">
        <v>-2</v>
      </c>
      <c r="R50" s="125">
        <v>-2</v>
      </c>
      <c r="S50" s="126">
        <v>1</v>
      </c>
      <c r="T50" s="126">
        <v>1</v>
      </c>
      <c r="U50" s="126">
        <v>1</v>
      </c>
      <c r="V50" s="126">
        <v>1</v>
      </c>
      <c r="W50" s="126">
        <v>1</v>
      </c>
      <c r="X50" s="127">
        <v>0</v>
      </c>
      <c r="Y50" s="126">
        <v>1</v>
      </c>
      <c r="Z50" s="126">
        <v>1</v>
      </c>
      <c r="AA50" s="125">
        <v>-2</v>
      </c>
      <c r="AB50" s="126">
        <v>1</v>
      </c>
      <c r="AC50" s="126">
        <v>1</v>
      </c>
      <c r="AD50" s="125">
        <v>-2</v>
      </c>
      <c r="AE50" s="125">
        <v>-2</v>
      </c>
      <c r="AF50" s="126">
        <v>1</v>
      </c>
      <c r="AG50" s="126">
        <v>1</v>
      </c>
      <c r="AH50" s="127">
        <v>0</v>
      </c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  <c r="AZ50" s="119"/>
      <c r="BA50" s="24"/>
      <c r="BB50" s="24"/>
      <c r="BC50" s="24"/>
      <c r="BD50" s="24"/>
      <c r="BE50" s="67"/>
      <c r="BF50" s="3">
        <f t="shared" si="5"/>
        <v>24</v>
      </c>
      <c r="BG50" s="34">
        <f t="shared" si="6"/>
        <v>8</v>
      </c>
      <c r="BH50" s="34">
        <f t="shared" si="14"/>
        <v>32</v>
      </c>
      <c r="BI50" s="35">
        <f t="shared" si="7"/>
        <v>0.75</v>
      </c>
      <c r="BJ50" s="3">
        <f t="shared" si="8"/>
        <v>0.2</v>
      </c>
    </row>
    <row r="51" spans="1:62" x14ac:dyDescent="0.25">
      <c r="A51" s="67">
        <v>18</v>
      </c>
      <c r="B51" s="2" t="s">
        <v>439</v>
      </c>
      <c r="C51" s="126">
        <v>1</v>
      </c>
      <c r="D51" s="127">
        <v>0</v>
      </c>
      <c r="E51" s="126">
        <v>1</v>
      </c>
      <c r="F51" s="127">
        <v>0</v>
      </c>
      <c r="G51" s="126">
        <v>1</v>
      </c>
      <c r="H51" s="127">
        <v>0</v>
      </c>
      <c r="I51" s="126">
        <v>1</v>
      </c>
      <c r="J51" s="127">
        <v>0</v>
      </c>
      <c r="K51" s="126">
        <v>1</v>
      </c>
      <c r="L51" s="126">
        <v>1</v>
      </c>
      <c r="M51" s="126">
        <v>1</v>
      </c>
      <c r="N51" s="127">
        <v>0</v>
      </c>
      <c r="O51" s="126">
        <v>1</v>
      </c>
      <c r="P51" s="127">
        <v>0</v>
      </c>
      <c r="Q51" s="126">
        <v>1</v>
      </c>
      <c r="R51" s="127">
        <v>0</v>
      </c>
      <c r="S51" s="126">
        <v>1</v>
      </c>
      <c r="T51" s="127">
        <v>0</v>
      </c>
      <c r="U51" s="126">
        <v>1</v>
      </c>
      <c r="V51" s="127">
        <v>0</v>
      </c>
      <c r="W51" s="126">
        <v>1</v>
      </c>
      <c r="X51" s="125">
        <v>-2</v>
      </c>
      <c r="Y51" s="126">
        <v>1</v>
      </c>
      <c r="Z51" s="125">
        <v>-2</v>
      </c>
      <c r="AA51" s="125">
        <v>-2</v>
      </c>
      <c r="AB51" s="125">
        <v>-2</v>
      </c>
      <c r="AC51" s="125">
        <v>-2</v>
      </c>
      <c r="AD51" s="125">
        <v>-2</v>
      </c>
      <c r="AE51" s="125">
        <v>-2</v>
      </c>
      <c r="AF51" s="125">
        <v>-2</v>
      </c>
      <c r="AG51" s="125">
        <v>-2</v>
      </c>
      <c r="AH51" s="125">
        <v>-2</v>
      </c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  <c r="AV51" s="119"/>
      <c r="AW51" s="119"/>
      <c r="AX51" s="119"/>
      <c r="AY51" s="119"/>
      <c r="AZ51" s="119"/>
      <c r="BA51" s="24"/>
      <c r="BB51" s="24"/>
      <c r="BC51" s="24"/>
      <c r="BD51" s="24"/>
      <c r="BE51" s="67"/>
      <c r="BF51" s="3">
        <f t="shared" si="5"/>
        <v>22</v>
      </c>
      <c r="BG51" s="34">
        <f t="shared" si="6"/>
        <v>10</v>
      </c>
      <c r="BH51" s="34">
        <f t="shared" si="14"/>
        <v>32</v>
      </c>
      <c r="BI51" s="35">
        <f t="shared" si="7"/>
        <v>0.6875</v>
      </c>
      <c r="BJ51" s="3">
        <f t="shared" si="8"/>
        <v>-0.70000000000000007</v>
      </c>
    </row>
    <row r="52" spans="1:62" x14ac:dyDescent="0.25">
      <c r="A52" s="67">
        <v>19</v>
      </c>
      <c r="B52" s="2" t="s">
        <v>440</v>
      </c>
      <c r="C52" s="126">
        <v>1</v>
      </c>
      <c r="D52" s="125">
        <v>-2</v>
      </c>
      <c r="E52" s="125">
        <v>-2</v>
      </c>
      <c r="F52" s="127">
        <v>0</v>
      </c>
      <c r="G52" s="126">
        <v>1</v>
      </c>
      <c r="H52" s="135" t="s">
        <v>525</v>
      </c>
      <c r="I52" s="126">
        <v>1</v>
      </c>
      <c r="J52" s="127">
        <v>0</v>
      </c>
      <c r="K52" s="126">
        <v>1</v>
      </c>
      <c r="L52" s="125">
        <v>-2</v>
      </c>
      <c r="M52" s="126">
        <v>1</v>
      </c>
      <c r="N52" s="125">
        <v>-2</v>
      </c>
      <c r="O52" s="125">
        <v>-2</v>
      </c>
      <c r="P52" s="125">
        <v>-2</v>
      </c>
      <c r="Q52" s="125">
        <v>-2</v>
      </c>
      <c r="R52" s="127">
        <v>0</v>
      </c>
      <c r="S52" s="125">
        <v>-2</v>
      </c>
      <c r="T52" s="127">
        <v>0</v>
      </c>
      <c r="U52" s="126">
        <v>1</v>
      </c>
      <c r="V52" s="125">
        <v>-2</v>
      </c>
      <c r="W52" s="125">
        <v>-2</v>
      </c>
      <c r="X52" s="127">
        <v>0</v>
      </c>
      <c r="Y52" s="126">
        <v>1</v>
      </c>
      <c r="Z52" s="127">
        <v>0</v>
      </c>
      <c r="AA52" s="125">
        <v>-2</v>
      </c>
      <c r="AB52" s="125">
        <v>-2</v>
      </c>
      <c r="AC52" s="126">
        <v>1</v>
      </c>
      <c r="AD52" s="125">
        <v>-2</v>
      </c>
      <c r="AE52" s="125">
        <v>-2</v>
      </c>
      <c r="AF52" s="127">
        <v>0</v>
      </c>
      <c r="AG52" s="125">
        <v>-2</v>
      </c>
      <c r="AH52" s="125">
        <v>-2</v>
      </c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  <c r="AZ52" s="119"/>
      <c r="BA52" s="24"/>
      <c r="BB52" s="24"/>
      <c r="BC52" s="24"/>
      <c r="BD52" s="24"/>
      <c r="BE52" s="67"/>
      <c r="BF52" s="3">
        <f t="shared" si="5"/>
        <v>16</v>
      </c>
      <c r="BG52" s="34">
        <f t="shared" si="6"/>
        <v>16</v>
      </c>
      <c r="BH52" s="34">
        <f t="shared" si="14"/>
        <v>32</v>
      </c>
      <c r="BI52" s="35">
        <f t="shared" si="7"/>
        <v>0.5</v>
      </c>
      <c r="BJ52" s="3">
        <f t="shared" si="8"/>
        <v>-2.4000000000000004</v>
      </c>
    </row>
    <row r="53" spans="1:62" x14ac:dyDescent="0.25">
      <c r="A53" s="67">
        <v>20</v>
      </c>
      <c r="B53" s="2" t="s">
        <v>441</v>
      </c>
      <c r="C53" s="126">
        <v>1</v>
      </c>
      <c r="D53" s="127">
        <v>0</v>
      </c>
      <c r="E53" s="126">
        <v>1</v>
      </c>
      <c r="F53" s="127">
        <v>0</v>
      </c>
      <c r="G53" s="126">
        <v>1</v>
      </c>
      <c r="H53" s="125">
        <v>-2</v>
      </c>
      <c r="I53" s="126">
        <v>1</v>
      </c>
      <c r="J53" s="125">
        <v>-2</v>
      </c>
      <c r="K53" s="125">
        <v>-2</v>
      </c>
      <c r="L53" s="125">
        <v>-2</v>
      </c>
      <c r="M53" s="126">
        <v>1</v>
      </c>
      <c r="N53" s="125">
        <v>-2</v>
      </c>
      <c r="O53" s="126">
        <v>1</v>
      </c>
      <c r="P53" s="125">
        <v>-2</v>
      </c>
      <c r="Q53" s="125">
        <v>-2</v>
      </c>
      <c r="R53" s="125">
        <v>-2</v>
      </c>
      <c r="S53" s="125">
        <v>-2</v>
      </c>
      <c r="T53" s="125">
        <v>-2</v>
      </c>
      <c r="U53" s="125">
        <v>-2</v>
      </c>
      <c r="V53" s="125">
        <v>-2</v>
      </c>
      <c r="W53" s="125">
        <v>-2</v>
      </c>
      <c r="X53" s="125">
        <v>-2</v>
      </c>
      <c r="Y53" s="125">
        <v>-2</v>
      </c>
      <c r="Z53" s="125">
        <v>-2</v>
      </c>
      <c r="AA53" s="125">
        <v>-2</v>
      </c>
      <c r="AB53" s="125">
        <v>-2</v>
      </c>
      <c r="AC53" s="125">
        <v>-2</v>
      </c>
      <c r="AD53" s="125">
        <v>-2</v>
      </c>
      <c r="AE53" s="125">
        <v>-2</v>
      </c>
      <c r="AF53" s="125">
        <v>-2</v>
      </c>
      <c r="AG53" s="125">
        <v>-2</v>
      </c>
      <c r="AH53" s="125">
        <v>-2</v>
      </c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24"/>
      <c r="BB53" s="24"/>
      <c r="BC53" s="24"/>
      <c r="BD53" s="24"/>
      <c r="BE53" s="67"/>
      <c r="BF53" s="3">
        <f t="shared" si="5"/>
        <v>8</v>
      </c>
      <c r="BG53" s="34">
        <f t="shared" si="6"/>
        <v>24</v>
      </c>
      <c r="BH53" s="34">
        <f t="shared" si="14"/>
        <v>32</v>
      </c>
      <c r="BI53" s="35">
        <f t="shared" si="7"/>
        <v>0.25</v>
      </c>
      <c r="BJ53" s="3">
        <f t="shared" si="8"/>
        <v>-4.2</v>
      </c>
    </row>
    <row r="54" spans="1:62" x14ac:dyDescent="0.25">
      <c r="A54" s="67">
        <v>21</v>
      </c>
      <c r="B54" s="2" t="s">
        <v>442</v>
      </c>
      <c r="C54" s="126">
        <v>1</v>
      </c>
      <c r="D54" s="127">
        <v>0</v>
      </c>
      <c r="E54" s="126">
        <v>1</v>
      </c>
      <c r="F54" s="126">
        <v>1</v>
      </c>
      <c r="G54" s="125">
        <v>-2</v>
      </c>
      <c r="H54" s="126">
        <v>1</v>
      </c>
      <c r="I54" s="126">
        <v>1</v>
      </c>
      <c r="J54" s="125">
        <v>-2</v>
      </c>
      <c r="K54" s="126">
        <v>1</v>
      </c>
      <c r="L54" s="125">
        <v>-2</v>
      </c>
      <c r="M54" s="125">
        <v>-2</v>
      </c>
      <c r="N54" s="125">
        <v>-2</v>
      </c>
      <c r="O54" s="125">
        <v>-2</v>
      </c>
      <c r="P54" s="125">
        <v>-2</v>
      </c>
      <c r="Q54" s="125">
        <v>-2</v>
      </c>
      <c r="R54" s="125">
        <v>-2</v>
      </c>
      <c r="S54" s="125">
        <v>-2</v>
      </c>
      <c r="T54" s="125">
        <v>-2</v>
      </c>
      <c r="U54" s="125">
        <v>-2</v>
      </c>
      <c r="V54" s="125">
        <v>-2</v>
      </c>
      <c r="W54" s="125">
        <v>-2</v>
      </c>
      <c r="X54" s="125">
        <v>-2</v>
      </c>
      <c r="Y54" s="125">
        <v>-2</v>
      </c>
      <c r="Z54" s="127">
        <v>0</v>
      </c>
      <c r="AA54" s="125">
        <v>-2</v>
      </c>
      <c r="AB54" s="125">
        <v>-2</v>
      </c>
      <c r="AC54" s="125">
        <v>-2</v>
      </c>
      <c r="AD54" s="125">
        <v>-2</v>
      </c>
      <c r="AE54" s="125">
        <v>-2</v>
      </c>
      <c r="AF54" s="125">
        <v>-2</v>
      </c>
      <c r="AG54" s="125">
        <v>-2</v>
      </c>
      <c r="AH54" s="125">
        <v>-2</v>
      </c>
      <c r="AI54" s="119"/>
      <c r="AJ54" s="119"/>
      <c r="AK54" s="119"/>
      <c r="AL54" s="119"/>
      <c r="AM54" s="119"/>
      <c r="AN54" s="119"/>
      <c r="AO54" s="119"/>
      <c r="AP54" s="119"/>
      <c r="AQ54" s="119"/>
      <c r="AR54" s="119"/>
      <c r="AS54" s="119"/>
      <c r="AT54" s="119"/>
      <c r="AU54" s="119"/>
      <c r="AV54" s="119"/>
      <c r="AW54" s="119"/>
      <c r="AX54" s="119"/>
      <c r="AY54" s="119"/>
      <c r="AZ54" s="119"/>
      <c r="BA54" s="24"/>
      <c r="BB54" s="24"/>
      <c r="BC54" s="24"/>
      <c r="BD54" s="24"/>
      <c r="BE54" s="67"/>
      <c r="BF54" s="3">
        <f t="shared" si="5"/>
        <v>8</v>
      </c>
      <c r="BG54" s="34">
        <f t="shared" si="6"/>
        <v>24</v>
      </c>
      <c r="BH54" s="34">
        <f t="shared" si="14"/>
        <v>32</v>
      </c>
      <c r="BI54" s="35">
        <f t="shared" si="7"/>
        <v>0.25</v>
      </c>
      <c r="BJ54" s="3">
        <f t="shared" si="8"/>
        <v>-4.2</v>
      </c>
    </row>
    <row r="55" spans="1:62" x14ac:dyDescent="0.25">
      <c r="A55" s="67">
        <v>22</v>
      </c>
      <c r="B55" s="2" t="s">
        <v>443</v>
      </c>
      <c r="C55" s="126">
        <v>1</v>
      </c>
      <c r="D55" s="125">
        <v>-2</v>
      </c>
      <c r="E55" s="126">
        <v>1</v>
      </c>
      <c r="F55" s="125">
        <v>-2</v>
      </c>
      <c r="G55" s="126">
        <v>1</v>
      </c>
      <c r="H55" s="127">
        <v>0</v>
      </c>
      <c r="I55" s="126">
        <v>1</v>
      </c>
      <c r="J55" s="126">
        <v>1</v>
      </c>
      <c r="K55" s="126">
        <v>1</v>
      </c>
      <c r="L55" s="125">
        <v>-2</v>
      </c>
      <c r="M55" s="126">
        <v>1</v>
      </c>
      <c r="N55" s="127">
        <v>0</v>
      </c>
      <c r="O55" s="126">
        <v>1</v>
      </c>
      <c r="P55" s="127">
        <v>0</v>
      </c>
      <c r="Q55" s="126">
        <v>1</v>
      </c>
      <c r="R55" s="125">
        <v>-2</v>
      </c>
      <c r="S55" s="126">
        <v>1</v>
      </c>
      <c r="T55" s="126">
        <v>1</v>
      </c>
      <c r="U55" s="126">
        <v>1</v>
      </c>
      <c r="V55" s="126">
        <v>1</v>
      </c>
      <c r="W55" s="126">
        <v>1</v>
      </c>
      <c r="X55" s="127">
        <v>0</v>
      </c>
      <c r="Y55" s="126">
        <v>1</v>
      </c>
      <c r="Z55" s="126">
        <v>1</v>
      </c>
      <c r="AA55" s="126">
        <v>1</v>
      </c>
      <c r="AB55" s="126">
        <v>1</v>
      </c>
      <c r="AC55" s="126">
        <v>1</v>
      </c>
      <c r="AD55" s="126">
        <v>1</v>
      </c>
      <c r="AE55" s="125">
        <v>-2</v>
      </c>
      <c r="AF55" s="126">
        <v>1</v>
      </c>
      <c r="AG55" s="126">
        <v>1</v>
      </c>
      <c r="AH55" s="126">
        <v>1</v>
      </c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24"/>
      <c r="BB55" s="24"/>
      <c r="BC55" s="24"/>
      <c r="BD55" s="24"/>
      <c r="BE55" s="67"/>
      <c r="BF55" s="3">
        <f t="shared" si="5"/>
        <v>27</v>
      </c>
      <c r="BG55" s="34">
        <f t="shared" si="6"/>
        <v>5</v>
      </c>
      <c r="BH55" s="34">
        <f t="shared" si="14"/>
        <v>32</v>
      </c>
      <c r="BI55" s="35">
        <f t="shared" si="7"/>
        <v>0.84375</v>
      </c>
      <c r="BJ55" s="3">
        <f t="shared" si="8"/>
        <v>1.3</v>
      </c>
    </row>
    <row r="56" spans="1:62" x14ac:dyDescent="0.25">
      <c r="A56" s="67">
        <v>23</v>
      </c>
      <c r="B56" s="2" t="s">
        <v>444</v>
      </c>
      <c r="C56" s="126">
        <v>1</v>
      </c>
      <c r="D56" s="127">
        <v>0</v>
      </c>
      <c r="E56" s="126">
        <v>1</v>
      </c>
      <c r="F56" s="127">
        <v>0</v>
      </c>
      <c r="G56" s="126">
        <v>1</v>
      </c>
      <c r="H56" s="127">
        <v>0</v>
      </c>
      <c r="I56" s="126">
        <v>1</v>
      </c>
      <c r="J56" s="127">
        <v>0</v>
      </c>
      <c r="K56" s="126">
        <v>1</v>
      </c>
      <c r="L56" s="127">
        <v>0</v>
      </c>
      <c r="M56" s="126">
        <v>1</v>
      </c>
      <c r="N56" s="127">
        <v>0</v>
      </c>
      <c r="O56" s="126">
        <v>1</v>
      </c>
      <c r="P56" s="125">
        <v>-2</v>
      </c>
      <c r="Q56" s="126">
        <v>1</v>
      </c>
      <c r="R56" s="125">
        <v>-2</v>
      </c>
      <c r="S56" s="126">
        <v>1</v>
      </c>
      <c r="T56" s="125">
        <v>-2</v>
      </c>
      <c r="U56" s="126">
        <v>1</v>
      </c>
      <c r="V56" s="127">
        <v>0</v>
      </c>
      <c r="W56" s="126">
        <v>1</v>
      </c>
      <c r="X56" s="127">
        <v>0</v>
      </c>
      <c r="Y56" s="126">
        <v>1</v>
      </c>
      <c r="Z56" s="127">
        <v>0</v>
      </c>
      <c r="AA56" s="126">
        <v>1</v>
      </c>
      <c r="AB56" s="125">
        <v>-2</v>
      </c>
      <c r="AC56" s="126">
        <v>1</v>
      </c>
      <c r="AD56" s="127">
        <v>0</v>
      </c>
      <c r="AE56" s="126">
        <v>1</v>
      </c>
      <c r="AF56" s="127">
        <v>0</v>
      </c>
      <c r="AG56" s="126">
        <v>1</v>
      </c>
      <c r="AH56" s="127">
        <v>0</v>
      </c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24"/>
      <c r="BB56" s="24"/>
      <c r="BC56" s="24"/>
      <c r="BD56" s="24"/>
      <c r="BE56" s="67"/>
      <c r="BF56" s="3">
        <f t="shared" si="5"/>
        <v>28</v>
      </c>
      <c r="BG56" s="34">
        <f t="shared" si="6"/>
        <v>4</v>
      </c>
      <c r="BH56" s="34">
        <f t="shared" si="14"/>
        <v>32</v>
      </c>
      <c r="BI56" s="35">
        <f t="shared" si="7"/>
        <v>0.875</v>
      </c>
      <c r="BJ56" s="3">
        <f t="shared" si="8"/>
        <v>0.8</v>
      </c>
    </row>
    <row r="57" spans="1:62" x14ac:dyDescent="0.25">
      <c r="A57" s="67">
        <v>24</v>
      </c>
      <c r="B57" s="2" t="s">
        <v>445</v>
      </c>
      <c r="C57" s="126">
        <v>1</v>
      </c>
      <c r="D57" s="127">
        <v>0</v>
      </c>
      <c r="E57" s="126">
        <v>1</v>
      </c>
      <c r="F57" s="125">
        <v>-2</v>
      </c>
      <c r="G57" s="126">
        <v>1</v>
      </c>
      <c r="H57" s="125">
        <v>-2</v>
      </c>
      <c r="I57" s="125">
        <v>-2</v>
      </c>
      <c r="J57" s="127">
        <v>0</v>
      </c>
      <c r="K57" s="126">
        <v>1</v>
      </c>
      <c r="L57" s="127">
        <v>0</v>
      </c>
      <c r="M57" s="126">
        <v>1</v>
      </c>
      <c r="N57" s="127">
        <v>0</v>
      </c>
      <c r="O57" s="126">
        <v>1</v>
      </c>
      <c r="P57" s="127">
        <v>0</v>
      </c>
      <c r="Q57" s="126">
        <v>1</v>
      </c>
      <c r="R57" s="125">
        <v>-2</v>
      </c>
      <c r="S57" s="125">
        <v>-2</v>
      </c>
      <c r="T57" s="127">
        <v>0</v>
      </c>
      <c r="U57" s="125">
        <v>-2</v>
      </c>
      <c r="V57" s="125">
        <v>-2</v>
      </c>
      <c r="W57" s="125">
        <v>-2</v>
      </c>
      <c r="X57" s="125">
        <v>-2</v>
      </c>
      <c r="Y57" s="126">
        <v>1</v>
      </c>
      <c r="Z57" s="125">
        <v>-2</v>
      </c>
      <c r="AA57" s="126">
        <v>1</v>
      </c>
      <c r="AB57" s="125">
        <v>-2</v>
      </c>
      <c r="AC57" s="125">
        <v>-2</v>
      </c>
      <c r="AD57" s="125">
        <v>-2</v>
      </c>
      <c r="AE57" s="125">
        <v>-2</v>
      </c>
      <c r="AF57" s="125">
        <v>-2</v>
      </c>
      <c r="AG57" s="126">
        <v>1</v>
      </c>
      <c r="AH57" s="125">
        <v>-2</v>
      </c>
      <c r="AI57" s="119"/>
      <c r="AJ57" s="119"/>
      <c r="AK57" s="119"/>
      <c r="AL57" s="119"/>
      <c r="AM57" s="119"/>
      <c r="AN57" s="119"/>
      <c r="AO57" s="119"/>
      <c r="AP57" s="119"/>
      <c r="AQ57" s="119"/>
      <c r="AR57" s="119"/>
      <c r="AS57" s="119"/>
      <c r="AT57" s="119"/>
      <c r="AU57" s="119"/>
      <c r="AV57" s="119"/>
      <c r="AW57" s="119"/>
      <c r="AX57" s="119"/>
      <c r="AY57" s="119"/>
      <c r="AZ57" s="119"/>
      <c r="BA57" s="24"/>
      <c r="BB57" s="24"/>
      <c r="BC57" s="24"/>
      <c r="BD57" s="24"/>
      <c r="BE57" s="67"/>
      <c r="BF57" s="3">
        <f t="shared" si="5"/>
        <v>16</v>
      </c>
      <c r="BG57" s="34">
        <f t="shared" si="6"/>
        <v>16</v>
      </c>
      <c r="BH57" s="34">
        <f t="shared" si="14"/>
        <v>32</v>
      </c>
      <c r="BI57" s="35">
        <f t="shared" si="7"/>
        <v>0.5</v>
      </c>
      <c r="BJ57" s="3">
        <f t="shared" si="8"/>
        <v>-2.2000000000000002</v>
      </c>
    </row>
    <row r="58" spans="1:62" x14ac:dyDescent="0.25">
      <c r="A58" s="67">
        <v>25</v>
      </c>
      <c r="B58" s="2" t="s">
        <v>446</v>
      </c>
      <c r="C58" s="126">
        <v>1</v>
      </c>
      <c r="D58" s="125">
        <v>-2</v>
      </c>
      <c r="E58" s="125">
        <v>-2</v>
      </c>
      <c r="F58" s="125">
        <v>-2</v>
      </c>
      <c r="G58" s="125">
        <v>-2</v>
      </c>
      <c r="H58" s="125">
        <v>-2</v>
      </c>
      <c r="I58" s="125">
        <v>-2</v>
      </c>
      <c r="J58" s="125">
        <v>-2</v>
      </c>
      <c r="K58" s="125">
        <v>-2</v>
      </c>
      <c r="L58" s="125">
        <v>-2</v>
      </c>
      <c r="M58" s="125">
        <v>-2</v>
      </c>
      <c r="N58" s="125">
        <v>-2</v>
      </c>
      <c r="O58" s="125">
        <v>-2</v>
      </c>
      <c r="P58" s="125">
        <v>-2</v>
      </c>
      <c r="Q58" s="125">
        <v>-2</v>
      </c>
      <c r="R58" s="125">
        <v>-2</v>
      </c>
      <c r="S58" s="125">
        <v>-2</v>
      </c>
      <c r="T58" s="125">
        <v>-2</v>
      </c>
      <c r="U58" s="125">
        <v>-2</v>
      </c>
      <c r="V58" s="125">
        <v>-2</v>
      </c>
      <c r="W58" s="125">
        <v>-2</v>
      </c>
      <c r="X58" s="125">
        <v>-2</v>
      </c>
      <c r="Y58" s="125">
        <v>-2</v>
      </c>
      <c r="Z58" s="125">
        <v>-2</v>
      </c>
      <c r="AA58" s="125">
        <v>-2</v>
      </c>
      <c r="AB58" s="125">
        <v>-2</v>
      </c>
      <c r="AC58" s="125">
        <v>-2</v>
      </c>
      <c r="AD58" s="125">
        <v>-2</v>
      </c>
      <c r="AE58" s="125">
        <v>-2</v>
      </c>
      <c r="AF58" s="125">
        <v>-2</v>
      </c>
      <c r="AG58" s="125">
        <v>-2</v>
      </c>
      <c r="AH58" s="125">
        <v>-2</v>
      </c>
      <c r="AI58" s="119"/>
      <c r="AJ58" s="119"/>
      <c r="AK58" s="119"/>
      <c r="AL58" s="119"/>
      <c r="AM58" s="119"/>
      <c r="AN58" s="119"/>
      <c r="AO58" s="119"/>
      <c r="AP58" s="119"/>
      <c r="AQ58" s="119"/>
      <c r="AR58" s="119"/>
      <c r="AS58" s="119"/>
      <c r="AT58" s="119"/>
      <c r="AU58" s="119"/>
      <c r="AV58" s="119"/>
      <c r="AW58" s="119"/>
      <c r="AX58" s="119"/>
      <c r="AY58" s="119"/>
      <c r="AZ58" s="119"/>
      <c r="BA58" s="24"/>
      <c r="BB58" s="24"/>
      <c r="BC58" s="24"/>
      <c r="BD58" s="24"/>
      <c r="BE58" s="67"/>
      <c r="BF58" s="3">
        <f t="shared" si="5"/>
        <v>1</v>
      </c>
      <c r="BG58" s="34">
        <f t="shared" si="6"/>
        <v>31</v>
      </c>
      <c r="BH58" s="34">
        <f t="shared" si="14"/>
        <v>32</v>
      </c>
      <c r="BI58" s="35">
        <f t="shared" si="7"/>
        <v>3.125E-2</v>
      </c>
      <c r="BJ58" s="3">
        <f t="shared" si="8"/>
        <v>-6.1000000000000005</v>
      </c>
    </row>
    <row r="59" spans="1:62" x14ac:dyDescent="0.25">
      <c r="A59" s="67">
        <v>26</v>
      </c>
      <c r="B59" s="2" t="s">
        <v>447</v>
      </c>
      <c r="C59" s="126">
        <v>1</v>
      </c>
      <c r="D59" s="125">
        <v>-2</v>
      </c>
      <c r="E59" s="126">
        <v>1</v>
      </c>
      <c r="F59" s="125">
        <v>-2</v>
      </c>
      <c r="G59" s="126">
        <v>1</v>
      </c>
      <c r="H59" s="125">
        <v>-2</v>
      </c>
      <c r="I59" s="126">
        <v>1</v>
      </c>
      <c r="J59" s="125">
        <v>-2</v>
      </c>
      <c r="K59" s="125">
        <v>-2</v>
      </c>
      <c r="L59" s="125">
        <v>-2</v>
      </c>
      <c r="M59" s="125">
        <v>-2</v>
      </c>
      <c r="N59" s="125">
        <v>-2</v>
      </c>
      <c r="O59" s="125">
        <v>-2</v>
      </c>
      <c r="P59" s="125">
        <v>-2</v>
      </c>
      <c r="Q59" s="125">
        <v>-2</v>
      </c>
      <c r="R59" s="125">
        <v>-2</v>
      </c>
      <c r="S59" s="125">
        <v>-2</v>
      </c>
      <c r="T59" s="125">
        <v>-2</v>
      </c>
      <c r="U59" s="125">
        <v>-2</v>
      </c>
      <c r="V59" s="125">
        <v>-2</v>
      </c>
      <c r="W59" s="125">
        <v>-2</v>
      </c>
      <c r="X59" s="125">
        <v>-2</v>
      </c>
      <c r="Y59" s="125">
        <v>-2</v>
      </c>
      <c r="Z59" s="125">
        <v>-2</v>
      </c>
      <c r="AA59" s="125">
        <v>-2</v>
      </c>
      <c r="AB59" s="125">
        <v>-2</v>
      </c>
      <c r="AC59" s="125">
        <v>-2</v>
      </c>
      <c r="AD59" s="125">
        <v>-2</v>
      </c>
      <c r="AE59" s="125">
        <v>-2</v>
      </c>
      <c r="AF59" s="125">
        <v>-2</v>
      </c>
      <c r="AG59" s="125">
        <v>-2</v>
      </c>
      <c r="AH59" s="125">
        <v>-2</v>
      </c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  <c r="AZ59" s="119"/>
      <c r="BA59" s="24"/>
      <c r="BB59" s="24"/>
      <c r="BC59" s="24"/>
      <c r="BD59" s="24"/>
      <c r="BE59" s="67"/>
      <c r="BF59" s="3">
        <f t="shared" si="5"/>
        <v>4</v>
      </c>
      <c r="BG59" s="34">
        <f t="shared" si="6"/>
        <v>28</v>
      </c>
      <c r="BH59" s="34">
        <f t="shared" si="14"/>
        <v>32</v>
      </c>
      <c r="BI59" s="35">
        <f t="shared" si="7"/>
        <v>0.125</v>
      </c>
      <c r="BJ59" s="3">
        <f t="shared" si="8"/>
        <v>-5.2</v>
      </c>
    </row>
    <row r="60" spans="1:62" x14ac:dyDescent="0.25">
      <c r="A60" s="67">
        <v>27</v>
      </c>
      <c r="B60" s="2" t="s">
        <v>448</v>
      </c>
      <c r="C60" s="126">
        <v>1</v>
      </c>
      <c r="D60" s="127">
        <v>0</v>
      </c>
      <c r="E60" s="126">
        <v>1</v>
      </c>
      <c r="F60" s="127">
        <v>0</v>
      </c>
      <c r="G60" s="126">
        <v>1</v>
      </c>
      <c r="H60" s="126">
        <v>1</v>
      </c>
      <c r="I60" s="126">
        <v>1</v>
      </c>
      <c r="J60" s="126">
        <v>1</v>
      </c>
      <c r="K60" s="126">
        <v>1</v>
      </c>
      <c r="L60" s="127">
        <v>0</v>
      </c>
      <c r="M60" s="126">
        <v>1</v>
      </c>
      <c r="N60" s="126">
        <v>1</v>
      </c>
      <c r="O60" s="126">
        <v>1</v>
      </c>
      <c r="P60" s="126">
        <v>1</v>
      </c>
      <c r="Q60" s="126">
        <v>1</v>
      </c>
      <c r="R60" s="126">
        <v>1</v>
      </c>
      <c r="S60" s="125">
        <v>-2</v>
      </c>
      <c r="T60" s="126">
        <v>1</v>
      </c>
      <c r="U60" s="126">
        <v>1</v>
      </c>
      <c r="V60" s="126">
        <v>1</v>
      </c>
      <c r="W60" s="126">
        <v>1</v>
      </c>
      <c r="X60" s="127">
        <v>0</v>
      </c>
      <c r="Y60" s="126">
        <v>1</v>
      </c>
      <c r="Z60" s="125">
        <v>-2</v>
      </c>
      <c r="AA60" s="126">
        <v>1</v>
      </c>
      <c r="AB60" s="127">
        <v>0</v>
      </c>
      <c r="AC60" s="126">
        <v>1</v>
      </c>
      <c r="AD60" s="126">
        <v>1</v>
      </c>
      <c r="AE60" s="126">
        <v>1</v>
      </c>
      <c r="AF60" s="125">
        <v>-2</v>
      </c>
      <c r="AG60" s="126">
        <v>1</v>
      </c>
      <c r="AH60" s="126">
        <v>1</v>
      </c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  <c r="AU60" s="119"/>
      <c r="AV60" s="119"/>
      <c r="AW60" s="119"/>
      <c r="AX60" s="119"/>
      <c r="AY60" s="119"/>
      <c r="AZ60" s="119"/>
      <c r="BA60" s="24"/>
      <c r="BB60" s="24"/>
      <c r="BC60" s="24"/>
      <c r="BD60" s="24"/>
      <c r="BE60" s="67"/>
      <c r="BF60" s="3">
        <f t="shared" si="5"/>
        <v>29</v>
      </c>
      <c r="BG60" s="34">
        <f t="shared" si="6"/>
        <v>3</v>
      </c>
      <c r="BH60" s="34">
        <f t="shared" si="14"/>
        <v>32</v>
      </c>
      <c r="BI60" s="35">
        <f t="shared" si="7"/>
        <v>0.90625</v>
      </c>
      <c r="BJ60" s="3">
        <f t="shared" si="8"/>
        <v>1.8</v>
      </c>
    </row>
    <row r="61" spans="1:62" x14ac:dyDescent="0.25">
      <c r="A61" s="67">
        <v>28</v>
      </c>
      <c r="B61" s="124" t="s">
        <v>553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26">
        <v>1</v>
      </c>
      <c r="Y61" s="125">
        <v>-2</v>
      </c>
      <c r="Z61" s="127">
        <v>0</v>
      </c>
      <c r="AA61" s="126">
        <v>1</v>
      </c>
      <c r="AB61" s="127">
        <v>0</v>
      </c>
      <c r="AC61" s="126">
        <v>1</v>
      </c>
      <c r="AD61" s="125">
        <v>-2</v>
      </c>
      <c r="AE61" s="125">
        <v>-2</v>
      </c>
      <c r="AF61" s="125">
        <v>-2</v>
      </c>
      <c r="AG61" s="125">
        <v>-2</v>
      </c>
      <c r="AH61" s="125">
        <v>-2</v>
      </c>
      <c r="AI61" s="119"/>
      <c r="AJ61" s="119"/>
      <c r="AK61" s="119"/>
      <c r="AL61" s="119"/>
      <c r="AM61" s="119"/>
      <c r="AN61" s="119"/>
      <c r="AO61" s="119"/>
      <c r="AP61" s="119"/>
      <c r="AQ61" s="119"/>
      <c r="AR61" s="119"/>
      <c r="AS61" s="119"/>
      <c r="AT61" s="119"/>
      <c r="AU61" s="119"/>
      <c r="AV61" s="119"/>
      <c r="AW61" s="119"/>
      <c r="AX61" s="119"/>
      <c r="AY61" s="119"/>
      <c r="AZ61" s="119"/>
      <c r="BA61" s="24"/>
      <c r="BB61" s="24"/>
      <c r="BC61" s="24"/>
      <c r="BD61" s="24"/>
      <c r="BE61" s="67"/>
      <c r="BF61" s="124">
        <f t="shared" si="5"/>
        <v>5</v>
      </c>
      <c r="BG61" s="34">
        <f t="shared" si="6"/>
        <v>6</v>
      </c>
      <c r="BH61" s="34">
        <f>BF61+BG61</f>
        <v>11</v>
      </c>
      <c r="BI61" s="35">
        <f>BF61/(IF(BH61&gt;0,BH61,1))</f>
        <v>0.45454545454545453</v>
      </c>
      <c r="BJ61" s="124">
        <f t="shared" si="8"/>
        <v>-0.9</v>
      </c>
    </row>
    <row r="62" spans="1:62" x14ac:dyDescent="0.25">
      <c r="A62" s="67">
        <v>29</v>
      </c>
      <c r="B62" s="124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  <c r="AA62" s="119"/>
      <c r="AB62" s="119"/>
      <c r="AC62" s="119"/>
      <c r="AD62" s="119"/>
      <c r="AE62" s="119"/>
      <c r="AF62" s="119"/>
      <c r="AG62" s="119"/>
      <c r="AH62" s="119"/>
      <c r="AI62" s="119"/>
      <c r="AJ62" s="119"/>
      <c r="AK62" s="119"/>
      <c r="AL62" s="119"/>
      <c r="AM62" s="119"/>
      <c r="AN62" s="119"/>
      <c r="AO62" s="119"/>
      <c r="AP62" s="119"/>
      <c r="AQ62" s="119"/>
      <c r="AR62" s="119"/>
      <c r="AS62" s="119"/>
      <c r="AT62" s="119"/>
      <c r="AU62" s="119"/>
      <c r="AV62" s="119"/>
      <c r="AW62" s="119"/>
      <c r="AX62" s="119"/>
      <c r="AY62" s="119"/>
      <c r="AZ62" s="119"/>
      <c r="BA62" s="24"/>
      <c r="BB62" s="24"/>
      <c r="BC62" s="24"/>
      <c r="BD62" s="24"/>
      <c r="BE62" s="67"/>
      <c r="BF62" s="3">
        <f t="shared" si="5"/>
        <v>0</v>
      </c>
      <c r="BG62" s="34">
        <f t="shared" si="6"/>
        <v>0</v>
      </c>
      <c r="BH62" s="34">
        <f t="shared" si="14"/>
        <v>0</v>
      </c>
      <c r="BI62" s="35">
        <f t="shared" si="7"/>
        <v>0</v>
      </c>
      <c r="BJ62" s="3">
        <f t="shared" si="8"/>
        <v>0</v>
      </c>
    </row>
    <row r="63" spans="1:62" x14ac:dyDescent="0.25">
      <c r="A63" s="67">
        <v>30</v>
      </c>
      <c r="B63" s="124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  <c r="AA63" s="119"/>
      <c r="AB63" s="119"/>
      <c r="AC63" s="119"/>
      <c r="AD63" s="119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19"/>
      <c r="AS63" s="119"/>
      <c r="AT63" s="119"/>
      <c r="AU63" s="119"/>
      <c r="AV63" s="119"/>
      <c r="AW63" s="119"/>
      <c r="AX63" s="119"/>
      <c r="AY63" s="119"/>
      <c r="AZ63" s="119"/>
      <c r="BA63" s="24"/>
      <c r="BB63" s="24"/>
      <c r="BC63" s="24"/>
      <c r="BD63" s="24"/>
      <c r="BE63" s="67"/>
      <c r="BF63" s="3">
        <f t="shared" si="5"/>
        <v>0</v>
      </c>
      <c r="BG63" s="34">
        <f t="shared" si="6"/>
        <v>0</v>
      </c>
      <c r="BH63" s="34">
        <f t="shared" si="14"/>
        <v>0</v>
      </c>
      <c r="BI63" s="35">
        <f t="shared" si="7"/>
        <v>0</v>
      </c>
      <c r="BJ63" s="3">
        <f t="shared" si="8"/>
        <v>0</v>
      </c>
    </row>
    <row r="64" spans="1:62" x14ac:dyDescent="0.25">
      <c r="B64" s="20" t="s">
        <v>45</v>
      </c>
      <c r="C64" s="21">
        <f>CalculatePresence(C3:C25)+CalculatePresence(C34:C63)</f>
        <v>43</v>
      </c>
      <c r="D64" s="21">
        <f>CalculatePresence(D3:D25)+CalculatePresence(D34:D63)</f>
        <v>39</v>
      </c>
      <c r="E64" s="21">
        <f>CalculatePresence(E3:E25)+CalculatePresence(E34:E63)</f>
        <v>39</v>
      </c>
      <c r="F64" s="21"/>
      <c r="G64" s="21">
        <f t="shared" ref="G64:Y64" si="15">CalculatePresence(G3:G25)+CalculatePresence(G34:G63)</f>
        <v>36</v>
      </c>
      <c r="H64" s="21">
        <f t="shared" si="15"/>
        <v>36</v>
      </c>
      <c r="I64" s="21">
        <f t="shared" si="15"/>
        <v>41</v>
      </c>
      <c r="J64" s="21">
        <f t="shared" si="15"/>
        <v>34</v>
      </c>
      <c r="K64" s="21">
        <f t="shared" si="15"/>
        <v>39</v>
      </c>
      <c r="L64" s="21">
        <f t="shared" si="15"/>
        <v>30</v>
      </c>
      <c r="M64" s="21">
        <f t="shared" si="15"/>
        <v>41</v>
      </c>
      <c r="N64" s="21">
        <f t="shared" si="15"/>
        <v>32</v>
      </c>
      <c r="O64" s="21">
        <f t="shared" si="15"/>
        <v>38</v>
      </c>
      <c r="P64" s="21">
        <f t="shared" si="15"/>
        <v>27</v>
      </c>
      <c r="Q64" s="21">
        <f t="shared" si="15"/>
        <v>35</v>
      </c>
      <c r="R64" s="21">
        <f t="shared" si="15"/>
        <v>25</v>
      </c>
      <c r="S64" s="21">
        <f t="shared" si="15"/>
        <v>31</v>
      </c>
      <c r="T64" s="21">
        <f t="shared" si="15"/>
        <v>26</v>
      </c>
      <c r="U64" s="21">
        <f t="shared" si="15"/>
        <v>37</v>
      </c>
      <c r="V64" s="21">
        <f t="shared" si="15"/>
        <v>31</v>
      </c>
      <c r="W64" s="21">
        <f t="shared" si="15"/>
        <v>35</v>
      </c>
      <c r="X64" s="21">
        <f t="shared" si="15"/>
        <v>28</v>
      </c>
      <c r="Y64" s="21">
        <f t="shared" si="15"/>
        <v>33</v>
      </c>
      <c r="Z64" s="21"/>
      <c r="AA64" s="21">
        <f t="shared" ref="AA64:AN64" si="16">CalculatePresence(AA3:AA25)+CalculatePresence(AA34:AA63)</f>
        <v>30</v>
      </c>
      <c r="AB64" s="21">
        <f t="shared" si="16"/>
        <v>29</v>
      </c>
      <c r="AC64" s="21">
        <f t="shared" si="16"/>
        <v>32</v>
      </c>
      <c r="AD64" s="21">
        <f t="shared" si="16"/>
        <v>28</v>
      </c>
      <c r="AE64" s="21">
        <f t="shared" si="16"/>
        <v>27</v>
      </c>
      <c r="AF64" s="21">
        <f t="shared" si="16"/>
        <v>29</v>
      </c>
      <c r="AG64" s="21">
        <f t="shared" si="16"/>
        <v>31</v>
      </c>
      <c r="AH64" s="21">
        <f t="shared" si="16"/>
        <v>29</v>
      </c>
      <c r="AI64" s="21">
        <f t="shared" si="16"/>
        <v>0</v>
      </c>
      <c r="AJ64" s="21">
        <f t="shared" si="16"/>
        <v>0</v>
      </c>
      <c r="AK64" s="21">
        <f t="shared" si="16"/>
        <v>0</v>
      </c>
      <c r="AL64" s="21">
        <f t="shared" si="16"/>
        <v>0</v>
      </c>
      <c r="AM64" s="21">
        <f t="shared" si="16"/>
        <v>0</v>
      </c>
      <c r="AN64" s="21">
        <f t="shared" si="16"/>
        <v>0</v>
      </c>
      <c r="AO64" s="21"/>
      <c r="AP64" s="21">
        <f t="shared" ref="AP64:AY64" si="17">CalculatePresence(AP3:AP25)+CalculatePresence(AP34:AP63)</f>
        <v>0</v>
      </c>
      <c r="AQ64" s="21">
        <f t="shared" si="17"/>
        <v>0</v>
      </c>
      <c r="AR64" s="21">
        <f t="shared" si="17"/>
        <v>0</v>
      </c>
      <c r="AS64" s="21">
        <f t="shared" si="17"/>
        <v>0</v>
      </c>
      <c r="AT64" s="21">
        <f t="shared" si="17"/>
        <v>0</v>
      </c>
      <c r="AU64" s="21">
        <f t="shared" si="17"/>
        <v>0</v>
      </c>
      <c r="AV64" s="21">
        <f t="shared" si="17"/>
        <v>0</v>
      </c>
      <c r="AW64" s="21">
        <f t="shared" si="17"/>
        <v>0</v>
      </c>
      <c r="AX64" s="21">
        <f t="shared" si="17"/>
        <v>0</v>
      </c>
      <c r="AY64" s="21">
        <f t="shared" si="17"/>
        <v>0</v>
      </c>
      <c r="BE64" s="21">
        <f>CalculatePresence(BE3:BE25)+CalculatePresence(BE34:BE63)</f>
        <v>0</v>
      </c>
      <c r="BF64" s="21">
        <f>SUM(BF3:BF25)+SUM(BF34:BF63)</f>
        <v>1053</v>
      </c>
      <c r="BG64" s="21">
        <f>SUM(BG3:BG25)+SUM(BG34:BG63)</f>
        <v>558</v>
      </c>
      <c r="BH64" s="21"/>
      <c r="BI64" s="22">
        <f>BF64/SUM(BF64:BG64)</f>
        <v>0.65363128491620115</v>
      </c>
    </row>
    <row r="65" spans="2:60" x14ac:dyDescent="0.25">
      <c r="B65" s="9" t="s">
        <v>46</v>
      </c>
      <c r="C65" s="25">
        <f>C64/COUNTA($A$3:$A$63)</f>
        <v>0.71666666666666667</v>
      </c>
      <c r="D65" s="25">
        <f>D64/COUNTA($A$3:$A$63)</f>
        <v>0.65</v>
      </c>
      <c r="E65" s="25">
        <f>E64/COUNTA($A$3:$A$63)</f>
        <v>0.65</v>
      </c>
      <c r="F65" s="25"/>
      <c r="G65" s="25">
        <f t="shared" ref="G65:W65" si="18">G64/COUNTA($A$3:$A$63)</f>
        <v>0.6</v>
      </c>
      <c r="H65" s="25">
        <f t="shared" si="18"/>
        <v>0.6</v>
      </c>
      <c r="I65" s="25">
        <f t="shared" si="18"/>
        <v>0.68333333333333335</v>
      </c>
      <c r="J65" s="25">
        <f t="shared" si="18"/>
        <v>0.56666666666666665</v>
      </c>
      <c r="K65" s="25">
        <f t="shared" si="18"/>
        <v>0.65</v>
      </c>
      <c r="L65" s="25">
        <f t="shared" si="18"/>
        <v>0.5</v>
      </c>
      <c r="M65" s="25">
        <f t="shared" si="18"/>
        <v>0.68333333333333335</v>
      </c>
      <c r="N65" s="25">
        <f t="shared" si="18"/>
        <v>0.53333333333333333</v>
      </c>
      <c r="O65" s="25">
        <f t="shared" si="18"/>
        <v>0.6333333333333333</v>
      </c>
      <c r="P65" s="25">
        <f t="shared" si="18"/>
        <v>0.45</v>
      </c>
      <c r="Q65" s="25">
        <f t="shared" si="18"/>
        <v>0.58333333333333337</v>
      </c>
      <c r="R65" s="25">
        <f t="shared" si="18"/>
        <v>0.41666666666666669</v>
      </c>
      <c r="S65" s="25">
        <f t="shared" si="18"/>
        <v>0.51666666666666672</v>
      </c>
      <c r="T65" s="25">
        <f t="shared" si="18"/>
        <v>0.43333333333333335</v>
      </c>
      <c r="U65" s="25">
        <f t="shared" si="18"/>
        <v>0.6166666666666667</v>
      </c>
      <c r="V65" s="25">
        <f t="shared" si="18"/>
        <v>0.51666666666666672</v>
      </c>
      <c r="W65" s="25">
        <f t="shared" si="18"/>
        <v>0.58333333333333337</v>
      </c>
      <c r="X65" s="25"/>
      <c r="Y65" s="25">
        <f>Y64/COUNTA($A$3:$A$63)</f>
        <v>0.55000000000000004</v>
      </c>
      <c r="Z65" s="25"/>
      <c r="AA65" s="25">
        <f t="shared" ref="AA65:AN65" si="19">AA64/COUNTA($A$3:$A$63)</f>
        <v>0.5</v>
      </c>
      <c r="AB65" s="25">
        <f t="shared" si="19"/>
        <v>0.48333333333333334</v>
      </c>
      <c r="AC65" s="25">
        <f t="shared" si="19"/>
        <v>0.53333333333333333</v>
      </c>
      <c r="AD65" s="25">
        <f t="shared" si="19"/>
        <v>0.46666666666666667</v>
      </c>
      <c r="AE65" s="25">
        <f t="shared" si="19"/>
        <v>0.45</v>
      </c>
      <c r="AF65" s="25">
        <f t="shared" si="19"/>
        <v>0.48333333333333334</v>
      </c>
      <c r="AG65" s="25">
        <f t="shared" si="19"/>
        <v>0.51666666666666672</v>
      </c>
      <c r="AH65" s="25">
        <f t="shared" si="19"/>
        <v>0.48333333333333334</v>
      </c>
      <c r="AI65" s="25">
        <f t="shared" si="19"/>
        <v>0</v>
      </c>
      <c r="AJ65" s="25">
        <f t="shared" si="19"/>
        <v>0</v>
      </c>
      <c r="AK65" s="25">
        <f t="shared" si="19"/>
        <v>0</v>
      </c>
      <c r="AL65" s="25">
        <f t="shared" si="19"/>
        <v>0</v>
      </c>
      <c r="AM65" s="25">
        <f t="shared" si="19"/>
        <v>0</v>
      </c>
      <c r="AN65" s="25">
        <f t="shared" si="19"/>
        <v>0</v>
      </c>
      <c r="AO65" s="25"/>
      <c r="AP65" s="25">
        <f t="shared" ref="AP65:AY65" si="20">AP64/COUNTA($A$3:$A$63)</f>
        <v>0</v>
      </c>
      <c r="AQ65" s="25">
        <f t="shared" si="20"/>
        <v>0</v>
      </c>
      <c r="AR65" s="25">
        <f t="shared" si="20"/>
        <v>0</v>
      </c>
      <c r="AS65" s="25">
        <f t="shared" si="20"/>
        <v>0</v>
      </c>
      <c r="AT65" s="25">
        <f t="shared" si="20"/>
        <v>0</v>
      </c>
      <c r="AU65" s="25">
        <f t="shared" si="20"/>
        <v>0</v>
      </c>
      <c r="AV65" s="25">
        <f t="shared" si="20"/>
        <v>0</v>
      </c>
      <c r="AW65" s="25">
        <f t="shared" si="20"/>
        <v>0</v>
      </c>
      <c r="AX65" s="25">
        <f t="shared" si="20"/>
        <v>0</v>
      </c>
      <c r="AY65" s="25">
        <f t="shared" si="20"/>
        <v>0</v>
      </c>
      <c r="BF65" s="25"/>
      <c r="BG65" s="25"/>
      <c r="BH65" s="25"/>
    </row>
    <row r="66" spans="2:60" x14ac:dyDescent="0.25">
      <c r="C66" s="21">
        <f>COUNTA(C12:C34)</f>
        <v>21</v>
      </c>
    </row>
    <row r="67" spans="2:60" x14ac:dyDescent="0.25">
      <c r="H67">
        <f>COUNTA(I3:I63)</f>
        <v>56</v>
      </c>
      <c r="I67">
        <f>SUM(I3:I63)</f>
        <v>42669</v>
      </c>
      <c r="BF67">
        <v>33</v>
      </c>
    </row>
    <row r="68" spans="2:60" x14ac:dyDescent="0.25">
      <c r="C68" t="s">
        <v>16</v>
      </c>
      <c r="D68" t="s">
        <v>17</v>
      </c>
    </row>
    <row r="69" spans="2:60" x14ac:dyDescent="0.25">
      <c r="B69" t="s">
        <v>13</v>
      </c>
      <c r="C69">
        <v>34</v>
      </c>
      <c r="D69">
        <v>3.4</v>
      </c>
      <c r="H69">
        <f>COUNTA(I3:I63)-(COUNTA(I3:I63)-SUM(I3:I63))/3</f>
        <v>14260.333333333334</v>
      </c>
    </row>
    <row r="70" spans="2:60" x14ac:dyDescent="0.25">
      <c r="B70" t="s">
        <v>14</v>
      </c>
      <c r="C70">
        <v>30</v>
      </c>
      <c r="D70">
        <v>3</v>
      </c>
    </row>
    <row r="71" spans="2:60" x14ac:dyDescent="0.25">
      <c r="B71" t="s">
        <v>15</v>
      </c>
      <c r="C71">
        <v>27</v>
      </c>
      <c r="D71">
        <v>2.7</v>
      </c>
    </row>
    <row r="77" spans="2:60" x14ac:dyDescent="0.25">
      <c r="B77" t="s">
        <v>449</v>
      </c>
      <c r="C77" s="126">
        <v>1</v>
      </c>
    </row>
    <row r="78" spans="2:60" x14ac:dyDescent="0.25">
      <c r="B78" s="2" t="s">
        <v>466</v>
      </c>
      <c r="C78" s="126">
        <v>1</v>
      </c>
    </row>
    <row r="79" spans="2:60" x14ac:dyDescent="0.25">
      <c r="B79" s="2" t="s">
        <v>464</v>
      </c>
      <c r="C79" s="126">
        <v>1</v>
      </c>
    </row>
    <row r="80" spans="2:60" x14ac:dyDescent="0.25">
      <c r="B80" s="2" t="s">
        <v>469</v>
      </c>
      <c r="C80" s="126">
        <v>1</v>
      </c>
    </row>
    <row r="81" spans="2:3" x14ac:dyDescent="0.25">
      <c r="B81" s="2" t="s">
        <v>468</v>
      </c>
      <c r="C81" s="126">
        <v>1</v>
      </c>
    </row>
    <row r="82" spans="2:3" x14ac:dyDescent="0.25">
      <c r="B82" s="2" t="s">
        <v>453</v>
      </c>
      <c r="C82" s="126">
        <v>1</v>
      </c>
    </row>
    <row r="83" spans="2:3" x14ac:dyDescent="0.25">
      <c r="B83" s="2" t="s">
        <v>451</v>
      </c>
      <c r="C83" s="126">
        <v>1</v>
      </c>
    </row>
    <row r="84" spans="2:3" x14ac:dyDescent="0.25">
      <c r="B84" s="2" t="s">
        <v>461</v>
      </c>
      <c r="C84" s="126">
        <v>1</v>
      </c>
    </row>
    <row r="85" spans="2:3" x14ac:dyDescent="0.25">
      <c r="B85" s="2" t="s">
        <v>457</v>
      </c>
      <c r="C85" s="126">
        <v>1</v>
      </c>
    </row>
    <row r="86" spans="2:3" x14ac:dyDescent="0.25">
      <c r="B86" s="2" t="s">
        <v>458</v>
      </c>
      <c r="C86" s="126">
        <v>1</v>
      </c>
    </row>
    <row r="87" spans="2:3" x14ac:dyDescent="0.25">
      <c r="B87" s="2" t="s">
        <v>459</v>
      </c>
      <c r="C87" s="126">
        <v>1</v>
      </c>
    </row>
    <row r="88" spans="2:3" x14ac:dyDescent="0.25">
      <c r="B88" s="2" t="s">
        <v>452</v>
      </c>
      <c r="C88" s="126">
        <v>1</v>
      </c>
    </row>
    <row r="89" spans="2:3" x14ac:dyDescent="0.25">
      <c r="B89" s="2" t="s">
        <v>454</v>
      </c>
      <c r="C89" s="126">
        <v>1</v>
      </c>
    </row>
    <row r="90" spans="2:3" x14ac:dyDescent="0.25">
      <c r="B90" s="2" t="s">
        <v>460</v>
      </c>
      <c r="C90" s="126">
        <v>1</v>
      </c>
    </row>
    <row r="91" spans="2:3" x14ac:dyDescent="0.25">
      <c r="B91" s="2" t="s">
        <v>465</v>
      </c>
      <c r="C91" s="126">
        <v>1</v>
      </c>
    </row>
    <row r="92" spans="2:3" x14ac:dyDescent="0.25">
      <c r="B92" s="2" t="s">
        <v>471</v>
      </c>
      <c r="C92" s="126">
        <v>1</v>
      </c>
    </row>
    <row r="93" spans="2:3" x14ac:dyDescent="0.25">
      <c r="B93" s="2" t="s">
        <v>455</v>
      </c>
      <c r="C93" s="126">
        <v>1</v>
      </c>
    </row>
    <row r="94" spans="2:3" x14ac:dyDescent="0.25">
      <c r="B94" s="2" t="s">
        <v>456</v>
      </c>
      <c r="C94" s="126">
        <v>1</v>
      </c>
    </row>
    <row r="95" spans="2:3" x14ac:dyDescent="0.25">
      <c r="B95" s="2" t="s">
        <v>462</v>
      </c>
      <c r="C95" s="126">
        <v>1</v>
      </c>
    </row>
    <row r="96" spans="2:3" x14ac:dyDescent="0.25">
      <c r="B96" s="2" t="s">
        <v>467</v>
      </c>
      <c r="C96" s="126">
        <v>1</v>
      </c>
    </row>
    <row r="97" spans="2:3" x14ac:dyDescent="0.25">
      <c r="B97" s="2" t="s">
        <v>470</v>
      </c>
      <c r="C97" s="126">
        <v>1</v>
      </c>
    </row>
    <row r="98" spans="2:3" x14ac:dyDescent="0.25">
      <c r="B98" s="2" t="s">
        <v>463</v>
      </c>
      <c r="C98" s="126">
        <v>1</v>
      </c>
    </row>
    <row r="99" spans="2:3" x14ac:dyDescent="0.25">
      <c r="B99" s="2" t="s">
        <v>450</v>
      </c>
      <c r="C99" s="126">
        <v>1</v>
      </c>
    </row>
    <row r="100" spans="2:3" x14ac:dyDescent="0.25">
      <c r="B100" s="2"/>
    </row>
    <row r="101" spans="2:3" x14ac:dyDescent="0.25">
      <c r="B101" s="2"/>
    </row>
    <row r="102" spans="2:3" x14ac:dyDescent="0.25">
      <c r="B102" s="2"/>
    </row>
    <row r="103" spans="2:3" x14ac:dyDescent="0.25">
      <c r="B103" s="2"/>
    </row>
    <row r="104" spans="2:3" x14ac:dyDescent="0.25">
      <c r="B104" s="2"/>
    </row>
  </sheetData>
  <sortState ref="B71:B92">
    <sortCondition ref="B71:B92"/>
  </sortState>
  <phoneticPr fontId="8" type="noConversion"/>
  <pageMargins left="0.7" right="0.7" top="0.75" bottom="0.75" header="0.3" footer="0.3"/>
  <pageSetup paperSize="9" orientation="portrait" horizontalDpi="180" verticalDpi="18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AE74"/>
  <sheetViews>
    <sheetView zoomScaleNormal="100" workbookViewId="0">
      <selection activeCell="C3" sqref="A1:Y71"/>
    </sheetView>
  </sheetViews>
  <sheetFormatPr defaultRowHeight="15" x14ac:dyDescent="0.25"/>
  <cols>
    <col min="2" max="2" width="38.7109375" customWidth="1"/>
    <col min="3" max="3" width="8.28515625" customWidth="1"/>
    <col min="4" max="4" width="12.140625" customWidth="1"/>
    <col min="5" max="5" width="10.28515625" customWidth="1"/>
    <col min="6" max="6" width="9.5703125" customWidth="1"/>
    <col min="7" max="9" width="10.85546875" customWidth="1"/>
    <col min="10" max="10" width="9.28515625" customWidth="1"/>
    <col min="11" max="12" width="7.28515625" hidden="1" customWidth="1"/>
    <col min="13" max="13" width="10.28515625" customWidth="1"/>
    <col min="14" max="14" width="13.28515625" customWidth="1"/>
    <col min="15" max="15" width="14" customWidth="1"/>
    <col min="16" max="16" width="8.42578125" customWidth="1"/>
    <col min="17" max="17" width="8" customWidth="1"/>
    <col min="18" max="21" width="9.42578125" customWidth="1"/>
    <col min="22" max="22" width="9.85546875" customWidth="1"/>
    <col min="23" max="23" width="11.140625" customWidth="1"/>
    <col min="24" max="24" width="9.85546875" customWidth="1"/>
    <col min="25" max="25" width="23.42578125" customWidth="1"/>
  </cols>
  <sheetData>
    <row r="1" spans="1:31" x14ac:dyDescent="0.25">
      <c r="B1" t="s">
        <v>29</v>
      </c>
      <c r="C1" s="13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5"/>
    </row>
    <row r="2" spans="1:31" ht="26.25" x14ac:dyDescent="0.25">
      <c r="A2" s="67"/>
      <c r="B2" s="65" t="s">
        <v>20</v>
      </c>
      <c r="C2" s="41" t="s">
        <v>292</v>
      </c>
      <c r="D2" s="41" t="s">
        <v>182</v>
      </c>
      <c r="E2" s="41" t="s">
        <v>30</v>
      </c>
      <c r="F2" s="41" t="s">
        <v>31</v>
      </c>
      <c r="G2" s="41" t="s">
        <v>32</v>
      </c>
      <c r="H2" s="41" t="s">
        <v>33</v>
      </c>
      <c r="I2" s="41" t="s">
        <v>39</v>
      </c>
      <c r="J2" s="41" t="s">
        <v>293</v>
      </c>
      <c r="K2" s="41" t="s">
        <v>294</v>
      </c>
      <c r="L2" s="41" t="s">
        <v>179</v>
      </c>
      <c r="M2" s="41" t="s">
        <v>592</v>
      </c>
      <c r="N2" s="78" t="s">
        <v>41</v>
      </c>
      <c r="O2" s="78" t="s">
        <v>53</v>
      </c>
      <c r="P2" s="41" t="s">
        <v>0</v>
      </c>
      <c r="Q2" s="41" t="s">
        <v>40</v>
      </c>
      <c r="R2" s="41" t="s">
        <v>49</v>
      </c>
      <c r="S2" s="78" t="s">
        <v>236</v>
      </c>
      <c r="T2" s="78" t="s">
        <v>237</v>
      </c>
      <c r="U2" s="78" t="s">
        <v>238</v>
      </c>
      <c r="V2" s="78" t="s">
        <v>239</v>
      </c>
      <c r="W2" s="78" t="s">
        <v>240</v>
      </c>
      <c r="X2" s="78" t="s">
        <v>51</v>
      </c>
      <c r="Y2" s="78" t="s">
        <v>19</v>
      </c>
    </row>
    <row r="3" spans="1:31" x14ac:dyDescent="0.25">
      <c r="A3" s="67">
        <v>1</v>
      </c>
      <c r="B3" s="2" t="s">
        <v>466</v>
      </c>
      <c r="C3" s="16">
        <f>Лаб0!N3</f>
        <v>0</v>
      </c>
      <c r="D3" s="16">
        <f>Лаб1!AC3</f>
        <v>6.6710526315789478</v>
      </c>
      <c r="E3" s="16">
        <f>Лаб2!AB3</f>
        <v>6.4184999999999999</v>
      </c>
      <c r="F3" s="18">
        <f>Лаб3!Q3</f>
        <v>5.2889999999999997</v>
      </c>
      <c r="G3" s="18">
        <f>Лаб4!K3</f>
        <v>4.5359999999999996</v>
      </c>
      <c r="H3" s="18">
        <f>Лаб5!U3</f>
        <v>5.2955882352941179</v>
      </c>
      <c r="I3" s="18">
        <f>Лаб6!Q3</f>
        <v>4.05</v>
      </c>
      <c r="J3" s="18">
        <f>Лаб7!R3</f>
        <v>0</v>
      </c>
      <c r="K3" s="18"/>
      <c r="L3" s="18"/>
      <c r="M3" s="18"/>
      <c r="N3" s="19">
        <f>Посещаемость!BJ3</f>
        <v>2</v>
      </c>
      <c r="O3" s="82">
        <f t="shared" ref="O3:O32" si="0">SUM(C3:M3)</f>
        <v>32.260140866873066</v>
      </c>
      <c r="P3" s="7">
        <f t="shared" ref="P3:P32" si="1">SUM(C3:N3)</f>
        <v>34.260140866873066</v>
      </c>
      <c r="Q3" s="7"/>
      <c r="R3" s="63">
        <f>Посещаемость!BG3</f>
        <v>2</v>
      </c>
      <c r="S3" s="81">
        <f t="shared" ref="S3:U32" si="2">$O3/S$66</f>
        <v>2.688345072239422</v>
      </c>
      <c r="T3" s="81">
        <f t="shared" si="2"/>
        <v>1.4026148202988289</v>
      </c>
      <c r="U3" s="81">
        <f t="shared" si="2"/>
        <v>0.5376690144478844</v>
      </c>
      <c r="V3" s="40">
        <f>Посещаемость!BI3</f>
        <v>0.9375</v>
      </c>
      <c r="W3" s="40">
        <f t="shared" ref="W3:W32" si="3">O3/$D$71</f>
        <v>0.5376690144478844</v>
      </c>
      <c r="X3" s="64">
        <f t="shared" ref="X3:X32" si="4">MAX(0,W3*0.8+0.2*V3)</f>
        <v>0.61763521155830747</v>
      </c>
      <c r="Y3" s="17" t="str">
        <f t="shared" ref="Y3:Y32" si="5">GetMark($D$71,$D$70,$D$69,P3)</f>
        <v>Неудовлетворительно</v>
      </c>
    </row>
    <row r="4" spans="1:31" x14ac:dyDescent="0.25">
      <c r="A4" s="67">
        <v>2</v>
      </c>
      <c r="B4" s="2" t="s">
        <v>478</v>
      </c>
      <c r="C4" s="16">
        <f>Лаб0!N4</f>
        <v>0</v>
      </c>
      <c r="D4" s="16">
        <f>Лаб1!AC4</f>
        <v>6.2842105263157899</v>
      </c>
      <c r="E4" s="16">
        <f>Лаб2!AB4</f>
        <v>6.1050000000000004</v>
      </c>
      <c r="F4" s="18">
        <f>Лаб3!Q4</f>
        <v>5.0439999999999996</v>
      </c>
      <c r="G4" s="18">
        <f>Лаб4!K4</f>
        <v>6.0431999999999997</v>
      </c>
      <c r="H4" s="18">
        <f>Лаб5!U4</f>
        <v>5.140735294117647</v>
      </c>
      <c r="I4" s="18">
        <f>Лаб6!Q4</f>
        <v>6.0696428571428571</v>
      </c>
      <c r="J4" s="18">
        <f>Лаб7!R4</f>
        <v>5.4</v>
      </c>
      <c r="K4" s="18"/>
      <c r="L4" s="18"/>
      <c r="M4" s="18">
        <v>20.6</v>
      </c>
      <c r="N4" s="19">
        <f>Посещаемость!BJ4</f>
        <v>0.4</v>
      </c>
      <c r="O4" s="82">
        <f t="shared" si="0"/>
        <v>60.686788677576295</v>
      </c>
      <c r="P4" s="7">
        <f t="shared" si="1"/>
        <v>61.086788677576294</v>
      </c>
      <c r="Q4" s="7"/>
      <c r="R4" s="63">
        <f>Посещаемость!BG4</f>
        <v>8</v>
      </c>
      <c r="S4" s="81">
        <f t="shared" si="2"/>
        <v>5.0572323897980249</v>
      </c>
      <c r="T4" s="81">
        <f t="shared" si="2"/>
        <v>2.6385560294598389</v>
      </c>
      <c r="U4" s="81">
        <f t="shared" si="2"/>
        <v>1.0114464779596049</v>
      </c>
      <c r="V4" s="40">
        <f>Посещаемость!BI4</f>
        <v>0.75</v>
      </c>
      <c r="W4" s="40">
        <f t="shared" si="3"/>
        <v>1.0114464779596049</v>
      </c>
      <c r="X4" s="64">
        <f t="shared" si="4"/>
        <v>0.95915718236768399</v>
      </c>
      <c r="Y4" s="17" t="str">
        <f t="shared" si="5"/>
        <v>Удовлетворительно</v>
      </c>
    </row>
    <row r="5" spans="1:31" x14ac:dyDescent="0.25">
      <c r="A5" s="67">
        <v>3</v>
      </c>
      <c r="B5" t="s">
        <v>449</v>
      </c>
      <c r="C5" s="16">
        <f>Лаб0!N5</f>
        <v>0</v>
      </c>
      <c r="D5" s="16">
        <f>Лаб1!AC5</f>
        <v>6.5384210526315787</v>
      </c>
      <c r="E5" s="16">
        <f>Лаб2!AB5</f>
        <v>6.0419999999999998</v>
      </c>
      <c r="F5" s="18">
        <f>Лаб3!Q5</f>
        <v>5.31</v>
      </c>
      <c r="G5" s="18">
        <f>Лаб4!K5</f>
        <v>6.4176000000000002</v>
      </c>
      <c r="H5" s="18">
        <f>Лаб5!U5</f>
        <v>5.5316176470588232</v>
      </c>
      <c r="I5" s="18">
        <f>Лаб6!Q5</f>
        <v>6.7607142857142861</v>
      </c>
      <c r="J5" s="18">
        <f>Лаб7!R5</f>
        <v>4.620000000000001</v>
      </c>
      <c r="K5" s="18"/>
      <c r="L5" s="18"/>
      <c r="M5" s="18">
        <v>20</v>
      </c>
      <c r="N5" s="19">
        <f>Посещаемость!BJ5</f>
        <v>2.7</v>
      </c>
      <c r="O5" s="82">
        <f>SUM(C5:M5)</f>
        <v>61.220352985404688</v>
      </c>
      <c r="P5" s="7">
        <f>SUM(C5:N5)</f>
        <v>63.920352985404691</v>
      </c>
      <c r="Q5" s="7"/>
      <c r="R5" s="63">
        <f>Посещаемость!BG5</f>
        <v>0</v>
      </c>
      <c r="S5" s="81">
        <f t="shared" si="2"/>
        <v>5.1016960821170576</v>
      </c>
      <c r="T5" s="81">
        <f t="shared" si="2"/>
        <v>2.6617544776262907</v>
      </c>
      <c r="U5" s="81">
        <f t="shared" si="2"/>
        <v>1.0203392164234115</v>
      </c>
      <c r="V5" s="40">
        <f>Посещаемость!BI5</f>
        <v>1</v>
      </c>
      <c r="W5" s="40">
        <f t="shared" si="3"/>
        <v>1.0203392164234115</v>
      </c>
      <c r="X5" s="64">
        <f>MAX(0,W5*0.8+0.2*V5)</f>
        <v>1.0162713731387292</v>
      </c>
      <c r="Y5" s="17" t="str">
        <f t="shared" si="5"/>
        <v>Удовлетворительно</v>
      </c>
    </row>
    <row r="6" spans="1:31" x14ac:dyDescent="0.25">
      <c r="A6" s="67">
        <v>4</v>
      </c>
      <c r="B6" s="2" t="s">
        <v>479</v>
      </c>
      <c r="C6" s="16">
        <f>Лаб0!N6</f>
        <v>0</v>
      </c>
      <c r="D6" s="16">
        <f>Лаб1!AC6</f>
        <v>6.3947368421052628</v>
      </c>
      <c r="E6" s="16">
        <f>Лаб2!AB6</f>
        <v>0</v>
      </c>
      <c r="F6" s="18">
        <f>Лаб3!Q6</f>
        <v>0</v>
      </c>
      <c r="G6" s="18">
        <f>Лаб4!K6</f>
        <v>0</v>
      </c>
      <c r="H6" s="18">
        <f>Лаб5!U6</f>
        <v>0</v>
      </c>
      <c r="I6" s="18">
        <f>Лаб6!Q6</f>
        <v>0</v>
      </c>
      <c r="J6" s="18">
        <f>Лаб7!R6</f>
        <v>0</v>
      </c>
      <c r="K6" s="18"/>
      <c r="L6" s="18"/>
      <c r="M6" s="18"/>
      <c r="N6" s="19">
        <f>Посещаемость!BJ6</f>
        <v>1.7000000000000002</v>
      </c>
      <c r="O6" s="82">
        <f t="shared" si="0"/>
        <v>6.3947368421052628</v>
      </c>
      <c r="P6" s="7">
        <f t="shared" si="1"/>
        <v>8.094736842105263</v>
      </c>
      <c r="Q6" s="7"/>
      <c r="R6" s="63">
        <f>Посещаемость!BG6</f>
        <v>0</v>
      </c>
      <c r="S6" s="81">
        <f t="shared" si="2"/>
        <v>0.5328947368421052</v>
      </c>
      <c r="T6" s="81">
        <f t="shared" si="2"/>
        <v>0.2780320366132723</v>
      </c>
      <c r="U6" s="81">
        <f t="shared" si="2"/>
        <v>0.10657894736842105</v>
      </c>
      <c r="V6" s="40">
        <f>Посещаемость!BI6</f>
        <v>1</v>
      </c>
      <c r="W6" s="40">
        <f t="shared" si="3"/>
        <v>0.10657894736842105</v>
      </c>
      <c r="X6" s="64">
        <f t="shared" si="4"/>
        <v>0.28526315789473689</v>
      </c>
      <c r="Y6" s="17" t="str">
        <f t="shared" si="5"/>
        <v>Неудовлетворительно</v>
      </c>
    </row>
    <row r="7" spans="1:31" x14ac:dyDescent="0.25">
      <c r="A7" s="67">
        <v>5</v>
      </c>
      <c r="B7" s="2" t="s">
        <v>480</v>
      </c>
      <c r="C7" s="16">
        <f>Лаб0!N7</f>
        <v>0</v>
      </c>
      <c r="D7" s="16">
        <f>Лаб1!AC7</f>
        <v>6.1973684210526319</v>
      </c>
      <c r="E7" s="16">
        <f>Лаб2!AB7</f>
        <v>6.06</v>
      </c>
      <c r="F7" s="18">
        <f>Лаб3!Q7</f>
        <v>0</v>
      </c>
      <c r="G7" s="18">
        <f>Лаб4!K7</f>
        <v>0</v>
      </c>
      <c r="H7" s="18">
        <f>Лаб5!U7</f>
        <v>4.68</v>
      </c>
      <c r="I7" s="18">
        <f>Лаб6!Q7</f>
        <v>0</v>
      </c>
      <c r="J7" s="18">
        <f>Лаб7!R7</f>
        <v>0</v>
      </c>
      <c r="K7" s="18"/>
      <c r="L7" s="18"/>
      <c r="M7" s="18"/>
      <c r="N7" s="19">
        <f>Посещаемость!BJ7</f>
        <v>1.6</v>
      </c>
      <c r="O7" s="82">
        <f t="shared" si="0"/>
        <v>16.937368421052632</v>
      </c>
      <c r="P7" s="7">
        <f t="shared" si="1"/>
        <v>18.537368421052633</v>
      </c>
      <c r="Q7" s="7"/>
      <c r="R7" s="63">
        <f>Посещаемость!BG7</f>
        <v>2</v>
      </c>
      <c r="S7" s="81">
        <f t="shared" si="2"/>
        <v>1.4114473684210527</v>
      </c>
      <c r="T7" s="81">
        <f t="shared" si="2"/>
        <v>0.73640732265446229</v>
      </c>
      <c r="U7" s="81">
        <f t="shared" si="2"/>
        <v>0.28228947368421053</v>
      </c>
      <c r="V7" s="40">
        <f>Посещаемость!BI7</f>
        <v>0.9375</v>
      </c>
      <c r="W7" s="40">
        <f t="shared" si="3"/>
        <v>0.28228947368421053</v>
      </c>
      <c r="X7" s="64">
        <f t="shared" si="4"/>
        <v>0.41333157894736844</v>
      </c>
      <c r="Y7" s="17" t="str">
        <f t="shared" si="5"/>
        <v>Неудовлетворительно</v>
      </c>
    </row>
    <row r="8" spans="1:31" x14ac:dyDescent="0.25">
      <c r="A8" s="67">
        <v>6</v>
      </c>
      <c r="B8" s="2" t="s">
        <v>483</v>
      </c>
      <c r="C8" s="16">
        <f>Лаб0!N10</f>
        <v>0</v>
      </c>
      <c r="D8" s="16">
        <f>Лаб1!AC8</f>
        <v>6.4815789473684209</v>
      </c>
      <c r="E8" s="16">
        <f>Лаб2!AB8</f>
        <v>6.06</v>
      </c>
      <c r="F8" s="18">
        <f>Лаб3!Q8</f>
        <v>5.2679999999999998</v>
      </c>
      <c r="G8" s="18">
        <f>Лаб4!K8</f>
        <v>6.2160000000000002</v>
      </c>
      <c r="H8" s="18">
        <f>Лаб5!U8</f>
        <v>5.4102941176470587</v>
      </c>
      <c r="I8" s="18">
        <f>Лаб6!Q8</f>
        <v>9.3461538461538467</v>
      </c>
      <c r="J8" s="18">
        <f>Лаб7!R8</f>
        <v>6.9728571428571433</v>
      </c>
      <c r="K8" s="18"/>
      <c r="L8" s="18"/>
      <c r="M8" s="18">
        <v>23</v>
      </c>
      <c r="N8" s="19">
        <f>Посещаемость!BJ8</f>
        <v>1.9000000000000001</v>
      </c>
      <c r="O8" s="82">
        <f>SUM(C8:M8)</f>
        <v>68.754884054026462</v>
      </c>
      <c r="P8" s="7">
        <f>SUM(C8:N8)</f>
        <v>70.654884054026468</v>
      </c>
      <c r="Q8" s="7"/>
      <c r="R8" s="63">
        <f>Посещаемость!BG8</f>
        <v>2</v>
      </c>
      <c r="S8" s="81">
        <f t="shared" si="2"/>
        <v>5.7295736711688718</v>
      </c>
      <c r="T8" s="81">
        <f t="shared" si="2"/>
        <v>2.9893427849576724</v>
      </c>
      <c r="U8" s="81">
        <f t="shared" si="2"/>
        <v>1.1459147342337743</v>
      </c>
      <c r="V8" s="40">
        <f>Посещаемость!BI8</f>
        <v>0.9375</v>
      </c>
      <c r="W8" s="40">
        <f t="shared" si="3"/>
        <v>1.1459147342337743</v>
      </c>
      <c r="X8" s="64">
        <f>MAX(0,W8*0.8+0.2*V8)</f>
        <v>1.1042317873870195</v>
      </c>
      <c r="Y8" s="17" t="str">
        <f t="shared" si="5"/>
        <v>Удовлетворительно</v>
      </c>
    </row>
    <row r="9" spans="1:31" x14ac:dyDescent="0.25">
      <c r="A9" s="67">
        <v>7</v>
      </c>
      <c r="B9" s="2" t="s">
        <v>481</v>
      </c>
      <c r="C9" s="16">
        <f>Лаб0!N8</f>
        <v>0</v>
      </c>
      <c r="D9" s="16">
        <f>Лаб1!AC9</f>
        <v>8.1192000000000011</v>
      </c>
      <c r="E9" s="16">
        <f>Лаб2!AB9</f>
        <v>6.6449999999999996</v>
      </c>
      <c r="F9" s="18">
        <f>Лаб3!Q9</f>
        <v>5.17</v>
      </c>
      <c r="G9" s="18">
        <f>Лаб4!K9</f>
        <v>6.0360000000000005</v>
      </c>
      <c r="H9" s="18">
        <f>Лаб5!U9</f>
        <v>5.5316176470588232</v>
      </c>
      <c r="I9" s="18">
        <f>Лаб6!Q9</f>
        <v>8.5442307692307686</v>
      </c>
      <c r="J9" s="18">
        <f>Лаб7!R9</f>
        <v>7.0907142857142862</v>
      </c>
      <c r="K9" s="18"/>
      <c r="L9" s="18"/>
      <c r="M9" s="18">
        <v>20</v>
      </c>
      <c r="N9" s="19">
        <f>Посещаемость!BJ9</f>
        <v>2.9000000000000004</v>
      </c>
      <c r="O9" s="82">
        <f t="shared" si="0"/>
        <v>67.136762702003878</v>
      </c>
      <c r="P9" s="7">
        <f t="shared" si="1"/>
        <v>70.036762702003884</v>
      </c>
      <c r="Q9" s="7"/>
      <c r="R9" s="63">
        <f>Посещаемость!BG9</f>
        <v>0</v>
      </c>
      <c r="S9" s="81">
        <f t="shared" si="2"/>
        <v>5.5947302251669901</v>
      </c>
      <c r="T9" s="81">
        <f t="shared" si="2"/>
        <v>2.9189896826958206</v>
      </c>
      <c r="U9" s="81">
        <f t="shared" si="2"/>
        <v>1.1189460450333979</v>
      </c>
      <c r="V9" s="40">
        <f>Посещаемость!BI9</f>
        <v>1</v>
      </c>
      <c r="W9" s="40">
        <f t="shared" si="3"/>
        <v>1.1189460450333979</v>
      </c>
      <c r="X9" s="64">
        <f t="shared" si="4"/>
        <v>1.0951568360267183</v>
      </c>
      <c r="Y9" s="17" t="str">
        <f t="shared" si="5"/>
        <v>Удовлетворительно</v>
      </c>
    </row>
    <row r="10" spans="1:31" x14ac:dyDescent="0.25">
      <c r="A10" s="67">
        <v>8</v>
      </c>
      <c r="B10" s="2" t="s">
        <v>482</v>
      </c>
      <c r="C10" s="16">
        <f>Лаб0!N9</f>
        <v>0</v>
      </c>
      <c r="D10" s="16">
        <f>Лаб1!AC10</f>
        <v>5.6</v>
      </c>
      <c r="E10" s="16">
        <f>Лаб2!AB10</f>
        <v>6.1050000000000004</v>
      </c>
      <c r="F10" s="18">
        <f>Лаб3!Q10</f>
        <v>5.17</v>
      </c>
      <c r="G10" s="18">
        <f>Лаб4!K10</f>
        <v>0</v>
      </c>
      <c r="H10" s="18">
        <f>Лаб5!U10</f>
        <v>5.4102941176470587</v>
      </c>
      <c r="I10" s="18">
        <f>Лаб6!Q10</f>
        <v>0</v>
      </c>
      <c r="J10" s="18">
        <f>Лаб7!R10</f>
        <v>0</v>
      </c>
      <c r="K10" s="18"/>
      <c r="L10" s="18"/>
      <c r="M10" s="18"/>
      <c r="N10" s="19">
        <f>Посещаемость!BJ10</f>
        <v>1.7000000000000002</v>
      </c>
      <c r="O10" s="82">
        <f t="shared" si="0"/>
        <v>22.285294117647059</v>
      </c>
      <c r="P10" s="7">
        <f t="shared" si="1"/>
        <v>23.985294117647058</v>
      </c>
      <c r="Q10" s="7"/>
      <c r="R10" s="63">
        <f>Посещаемость!BG10</f>
        <v>2</v>
      </c>
      <c r="S10" s="81">
        <f t="shared" si="2"/>
        <v>1.857107843137255</v>
      </c>
      <c r="T10" s="81">
        <f t="shared" si="2"/>
        <v>0.96892583120204601</v>
      </c>
      <c r="U10" s="81">
        <f t="shared" si="2"/>
        <v>0.37142156862745096</v>
      </c>
      <c r="V10" s="40">
        <f>Посещаемость!BI10</f>
        <v>0.9375</v>
      </c>
      <c r="W10" s="40">
        <f t="shared" si="3"/>
        <v>0.37142156862745096</v>
      </c>
      <c r="X10" s="64">
        <f t="shared" si="4"/>
        <v>0.4846372549019608</v>
      </c>
      <c r="Y10" s="17" t="str">
        <f t="shared" si="5"/>
        <v>Неудовлетворительно</v>
      </c>
    </row>
    <row r="11" spans="1:31" x14ac:dyDescent="0.25">
      <c r="A11" s="67">
        <v>9</v>
      </c>
      <c r="B11" s="2" t="s">
        <v>484</v>
      </c>
      <c r="C11" s="16">
        <f>Лаб0!N11</f>
        <v>0</v>
      </c>
      <c r="D11" s="16">
        <f>Лаб1!AC11</f>
        <v>9.1812000000000005</v>
      </c>
      <c r="E11" s="16">
        <f>Лаб2!AB11</f>
        <v>7.2011250000000002</v>
      </c>
      <c r="F11" s="18">
        <f>Лаб3!Q11</f>
        <v>6.7920833333333333</v>
      </c>
      <c r="G11" s="18">
        <f>Лаб4!K11</f>
        <v>8.6035714285714278</v>
      </c>
      <c r="H11" s="18">
        <f>Лаб5!U11</f>
        <v>5.4627941176470589</v>
      </c>
      <c r="I11" s="18">
        <f>Лаб6!Q11</f>
        <v>6.3214285714285712</v>
      </c>
      <c r="J11" s="18">
        <f>Лаб7!R11</f>
        <v>6.7607142857142861</v>
      </c>
      <c r="K11" s="18"/>
      <c r="L11" s="18"/>
      <c r="M11" s="18">
        <v>20</v>
      </c>
      <c r="N11" s="19">
        <f>Посещаемость!BJ11</f>
        <v>2.9000000000000004</v>
      </c>
      <c r="O11" s="82">
        <f t="shared" si="0"/>
        <v>70.32291673669468</v>
      </c>
      <c r="P11" s="7">
        <f t="shared" si="1"/>
        <v>73.222916736694685</v>
      </c>
      <c r="Q11" s="7"/>
      <c r="R11" s="63">
        <f>Посещаемость!BG11</f>
        <v>0</v>
      </c>
      <c r="S11" s="81">
        <f t="shared" si="2"/>
        <v>5.8602430613912233</v>
      </c>
      <c r="T11" s="81">
        <f t="shared" si="2"/>
        <v>3.0575181189867253</v>
      </c>
      <c r="U11" s="81">
        <f t="shared" si="2"/>
        <v>1.1720486122782448</v>
      </c>
      <c r="V11" s="40">
        <f>Посещаемость!BI11</f>
        <v>1</v>
      </c>
      <c r="W11" s="40">
        <f t="shared" si="3"/>
        <v>1.1720486122782448</v>
      </c>
      <c r="X11" s="64">
        <f t="shared" si="4"/>
        <v>1.1376388898225958</v>
      </c>
      <c r="Y11" s="17" t="str">
        <f t="shared" si="5"/>
        <v>Удовлетворительно</v>
      </c>
    </row>
    <row r="12" spans="1:31" x14ac:dyDescent="0.25">
      <c r="A12" s="67">
        <v>10</v>
      </c>
      <c r="B12" s="2" t="s">
        <v>485</v>
      </c>
      <c r="C12" s="16">
        <f>Лаб0!N12</f>
        <v>0</v>
      </c>
      <c r="D12" s="16">
        <f>Лаб1!AC12</f>
        <v>6.9592105263157897</v>
      </c>
      <c r="E12" s="16">
        <f>Лаб2!AB12</f>
        <v>6.2685000000000004</v>
      </c>
      <c r="F12" s="18">
        <f>Лаб3!Q12</f>
        <v>5.31</v>
      </c>
      <c r="G12" s="18">
        <f>Лаб4!K12</f>
        <v>0</v>
      </c>
      <c r="H12" s="18">
        <f>Лаб5!U12</f>
        <v>5.1808823529411763</v>
      </c>
      <c r="I12" s="18">
        <f>Лаб6!Q12</f>
        <v>0</v>
      </c>
      <c r="J12" s="18">
        <f>Лаб7!R12</f>
        <v>0</v>
      </c>
      <c r="K12" s="18"/>
      <c r="L12" s="18"/>
      <c r="M12" s="18"/>
      <c r="N12" s="19">
        <f>Посещаемость!BJ12</f>
        <v>2.2000000000000002</v>
      </c>
      <c r="O12" s="82">
        <f t="shared" si="0"/>
        <v>23.718592879256963</v>
      </c>
      <c r="P12" s="7">
        <f t="shared" si="1"/>
        <v>25.918592879256963</v>
      </c>
      <c r="Q12" s="7"/>
      <c r="R12" s="63">
        <f>Посещаемость!BG12</f>
        <v>1</v>
      </c>
      <c r="S12" s="81">
        <f t="shared" si="2"/>
        <v>1.9765494066047469</v>
      </c>
      <c r="T12" s="81">
        <f t="shared" si="2"/>
        <v>1.0312431686633463</v>
      </c>
      <c r="U12" s="81">
        <f t="shared" si="2"/>
        <v>0.39530988132094941</v>
      </c>
      <c r="V12" s="40">
        <f>Посещаемость!BI12</f>
        <v>0.96875</v>
      </c>
      <c r="W12" s="40">
        <f t="shared" si="3"/>
        <v>0.39530988132094941</v>
      </c>
      <c r="X12" s="64">
        <f t="shared" si="4"/>
        <v>0.50999790505675957</v>
      </c>
      <c r="Y12" s="17" t="str">
        <f t="shared" si="5"/>
        <v>Неудовлетворительно</v>
      </c>
    </row>
    <row r="13" spans="1:31" x14ac:dyDescent="0.25">
      <c r="A13" s="67">
        <v>11</v>
      </c>
      <c r="B13" s="2" t="s">
        <v>486</v>
      </c>
      <c r="C13" s="16">
        <f>Лаб0!N13</f>
        <v>0</v>
      </c>
      <c r="D13" s="16">
        <f>Лаб1!AC13</f>
        <v>7.7793000000000001</v>
      </c>
      <c r="E13" s="16">
        <f>Лаб2!AB13</f>
        <v>6.3570000000000002</v>
      </c>
      <c r="F13" s="18">
        <f>Лаб3!Q13</f>
        <v>5.1349999999999998</v>
      </c>
      <c r="G13" s="18">
        <f>Лаб4!K13</f>
        <v>6.18</v>
      </c>
      <c r="H13" s="18">
        <f>Лаб5!U13</f>
        <v>5.4411764705882355</v>
      </c>
      <c r="I13" s="18">
        <f>Лаб6!Q13</f>
        <v>7.1464285714285714</v>
      </c>
      <c r="J13" s="18">
        <f>Лаб7!R13</f>
        <v>6.2903571428571432</v>
      </c>
      <c r="K13" s="18"/>
      <c r="L13" s="18"/>
      <c r="M13" s="138">
        <v>38</v>
      </c>
      <c r="N13" s="19">
        <f>Посещаемость!BJ13</f>
        <v>2.1</v>
      </c>
      <c r="O13" s="82">
        <f t="shared" si="0"/>
        <v>82.329262184873954</v>
      </c>
      <c r="P13" s="7">
        <f t="shared" si="1"/>
        <v>84.429262184873949</v>
      </c>
      <c r="Q13" s="7"/>
      <c r="R13" s="63">
        <f>Посещаемость!BG13</f>
        <v>3</v>
      </c>
      <c r="S13" s="81">
        <f t="shared" si="2"/>
        <v>6.8607718487394962</v>
      </c>
      <c r="T13" s="81">
        <f t="shared" si="2"/>
        <v>3.5795331384727804</v>
      </c>
      <c r="U13" s="81">
        <f t="shared" si="2"/>
        <v>1.3721543697478993</v>
      </c>
      <c r="V13" s="40">
        <f>Посещаемость!BI13</f>
        <v>0.90625</v>
      </c>
      <c r="W13" s="40">
        <f t="shared" si="3"/>
        <v>1.3721543697478993</v>
      </c>
      <c r="X13" s="64">
        <f t="shared" si="4"/>
        <v>1.2789734957983194</v>
      </c>
      <c r="Y13" s="17" t="str">
        <f t="shared" si="5"/>
        <v>Хорошо</v>
      </c>
    </row>
    <row r="14" spans="1:31" x14ac:dyDescent="0.25">
      <c r="A14" s="67">
        <v>12</v>
      </c>
      <c r="B14" s="2" t="s">
        <v>487</v>
      </c>
      <c r="C14" s="16">
        <f>Лаб0!N14</f>
        <v>0</v>
      </c>
      <c r="D14" s="16">
        <f>Лаб1!AC14</f>
        <v>0</v>
      </c>
      <c r="E14" s="16">
        <f>Лаб2!AB14</f>
        <v>0</v>
      </c>
      <c r="F14" s="18">
        <f>Лаб3!Q14</f>
        <v>0</v>
      </c>
      <c r="G14" s="18">
        <f>Лаб4!K14</f>
        <v>0</v>
      </c>
      <c r="H14" s="18">
        <f>Лаб5!U14</f>
        <v>0</v>
      </c>
      <c r="I14" s="18">
        <f>Лаб6!Q14</f>
        <v>0</v>
      </c>
      <c r="J14" s="18">
        <f>Лаб7!R14</f>
        <v>0</v>
      </c>
      <c r="K14" s="18"/>
      <c r="L14" s="18"/>
      <c r="M14" s="18"/>
      <c r="N14" s="19">
        <f>Посещаемость!BJ14</f>
        <v>-4.8000000000000007</v>
      </c>
      <c r="O14" s="82">
        <f t="shared" si="0"/>
        <v>0</v>
      </c>
      <c r="P14" s="7">
        <f t="shared" si="1"/>
        <v>-4.8000000000000007</v>
      </c>
      <c r="Q14" s="7"/>
      <c r="R14" s="63">
        <f>Посещаемость!BG14</f>
        <v>26</v>
      </c>
      <c r="S14" s="81">
        <f t="shared" si="2"/>
        <v>0</v>
      </c>
      <c r="T14" s="81">
        <f t="shared" si="2"/>
        <v>0</v>
      </c>
      <c r="U14" s="81">
        <f t="shared" si="2"/>
        <v>0</v>
      </c>
      <c r="V14" s="40">
        <f>Посещаемость!BI14</f>
        <v>0.1875</v>
      </c>
      <c r="W14" s="40">
        <f t="shared" si="3"/>
        <v>0</v>
      </c>
      <c r="X14" s="64">
        <f t="shared" si="4"/>
        <v>3.7500000000000006E-2</v>
      </c>
      <c r="Y14" s="17" t="str">
        <f t="shared" si="5"/>
        <v>Неудовлетворительно</v>
      </c>
    </row>
    <row r="15" spans="1:31" x14ac:dyDescent="0.25">
      <c r="A15" s="67">
        <v>13</v>
      </c>
      <c r="B15" s="2" t="s">
        <v>488</v>
      </c>
      <c r="C15" s="16">
        <f>Лаб0!N15</f>
        <v>0</v>
      </c>
      <c r="D15" s="16">
        <f>Лаб1!AC15</f>
        <v>8.0988000000000007</v>
      </c>
      <c r="E15" s="16">
        <f>Лаб2!AB15</f>
        <v>6.84</v>
      </c>
      <c r="F15" s="18">
        <f>Лаб3!Q15</f>
        <v>5.0019999999999998</v>
      </c>
      <c r="G15" s="18">
        <f>Лаб4!K15</f>
        <v>6.6192000000000002</v>
      </c>
      <c r="H15" s="18">
        <f>Лаб5!U15</f>
        <v>5.3489705882352938</v>
      </c>
      <c r="I15" s="18">
        <f>Лаб6!Q15</f>
        <v>6.1071428571428568</v>
      </c>
      <c r="J15" s="18">
        <f>Лаб7!R15</f>
        <v>1.125</v>
      </c>
      <c r="K15" s="18"/>
      <c r="L15" s="18"/>
      <c r="M15" s="18">
        <v>30</v>
      </c>
      <c r="N15" s="19">
        <f>Посещаемость!BJ15</f>
        <v>2.7</v>
      </c>
      <c r="O15" s="82">
        <f t="shared" si="0"/>
        <v>69.141113445378153</v>
      </c>
      <c r="P15" s="7">
        <f t="shared" si="1"/>
        <v>71.841113445378156</v>
      </c>
      <c r="Q15" s="7"/>
      <c r="R15" s="63">
        <f>Посещаемость!BG15</f>
        <v>0</v>
      </c>
      <c r="S15" s="81">
        <f t="shared" si="2"/>
        <v>5.7617594537815124</v>
      </c>
      <c r="T15" s="81">
        <f t="shared" si="2"/>
        <v>3.0061353671903546</v>
      </c>
      <c r="U15" s="81">
        <f t="shared" si="2"/>
        <v>1.1523518907563026</v>
      </c>
      <c r="V15" s="40">
        <f>Посещаемость!BI15</f>
        <v>1</v>
      </c>
      <c r="W15" s="40">
        <f t="shared" si="3"/>
        <v>1.1523518907563026</v>
      </c>
      <c r="X15" s="64">
        <f t="shared" si="4"/>
        <v>1.1218815126050421</v>
      </c>
      <c r="Y15" s="17" t="str">
        <f t="shared" si="5"/>
        <v>Удовлетворительно</v>
      </c>
    </row>
    <row r="16" spans="1:31" x14ac:dyDescent="0.25">
      <c r="A16" s="67">
        <v>14</v>
      </c>
      <c r="B16" s="2" t="s">
        <v>473</v>
      </c>
      <c r="C16" s="16">
        <f>Лаб0!N16</f>
        <v>0</v>
      </c>
      <c r="D16" s="16">
        <f>Лаб1!AC16</f>
        <v>7.3736842105263154</v>
      </c>
      <c r="E16" s="16">
        <f>Лаб2!AB16</f>
        <v>6.5220000000000002</v>
      </c>
      <c r="F16" s="18">
        <f>Лаб3!Q16</f>
        <v>5.17</v>
      </c>
      <c r="G16" s="18">
        <f>Лаб4!K16</f>
        <v>4.2</v>
      </c>
      <c r="H16" s="18">
        <f>Лаб5!U16</f>
        <v>5.6051470588235297</v>
      </c>
      <c r="I16" s="18">
        <f>Лаб6!Q16</f>
        <v>6.0107142857142861</v>
      </c>
      <c r="J16" s="18">
        <f>Лаб7!R16</f>
        <v>6.375</v>
      </c>
      <c r="K16" s="18"/>
      <c r="L16" s="18"/>
      <c r="M16" s="18">
        <v>33</v>
      </c>
      <c r="N16" s="19">
        <f>Посещаемость!BJ16</f>
        <v>2.7</v>
      </c>
      <c r="O16" s="82">
        <f t="shared" si="0"/>
        <v>74.256545555064122</v>
      </c>
      <c r="P16" s="7">
        <f t="shared" si="1"/>
        <v>76.956545555064125</v>
      </c>
      <c r="Q16" s="7"/>
      <c r="R16" s="63">
        <f>Посещаемость!BG16</f>
        <v>0</v>
      </c>
      <c r="S16" s="81">
        <f t="shared" si="2"/>
        <v>6.1880454629220099</v>
      </c>
      <c r="T16" s="81">
        <f t="shared" si="2"/>
        <v>3.2285454589158316</v>
      </c>
      <c r="U16" s="81">
        <f t="shared" si="2"/>
        <v>1.2376090925844021</v>
      </c>
      <c r="V16" s="40">
        <f>Посещаемость!BI16</f>
        <v>1</v>
      </c>
      <c r="W16" s="40">
        <f t="shared" si="3"/>
        <v>1.2376090925844021</v>
      </c>
      <c r="X16" s="64">
        <f t="shared" si="4"/>
        <v>1.1900872740675217</v>
      </c>
      <c r="Y16" s="17" t="str">
        <f t="shared" si="5"/>
        <v>Хорошо</v>
      </c>
    </row>
    <row r="17" spans="1:25" x14ac:dyDescent="0.25">
      <c r="A17" s="67">
        <v>15</v>
      </c>
      <c r="B17" s="2" t="s">
        <v>474</v>
      </c>
      <c r="C17" s="16">
        <f>Лаб0!N17</f>
        <v>0</v>
      </c>
      <c r="D17" s="16">
        <f>Лаб1!AC17</f>
        <v>4.8</v>
      </c>
      <c r="E17" s="16">
        <f>Лаб2!AB17</f>
        <v>0</v>
      </c>
      <c r="F17" s="18">
        <f>Лаб3!Q17</f>
        <v>0</v>
      </c>
      <c r="G17" s="18">
        <f>Лаб4!K17</f>
        <v>0</v>
      </c>
      <c r="H17" s="18">
        <f>Лаб5!U17</f>
        <v>0</v>
      </c>
      <c r="I17" s="18">
        <f>Лаб6!Q17</f>
        <v>0</v>
      </c>
      <c r="J17" s="18">
        <f>Лаб7!R17</f>
        <v>0</v>
      </c>
      <c r="K17" s="18"/>
      <c r="L17" s="18"/>
      <c r="M17" s="18"/>
      <c r="N17" s="19">
        <f>Посещаемость!BJ17</f>
        <v>0.1</v>
      </c>
      <c r="O17" s="82">
        <f t="shared" si="0"/>
        <v>4.8</v>
      </c>
      <c r="P17" s="7">
        <f t="shared" si="1"/>
        <v>4.8999999999999995</v>
      </c>
      <c r="Q17" s="7"/>
      <c r="R17" s="63">
        <f>Посещаемость!BG17</f>
        <v>8</v>
      </c>
      <c r="S17" s="81">
        <f t="shared" si="2"/>
        <v>0.39999999999999997</v>
      </c>
      <c r="T17" s="81">
        <f t="shared" si="2"/>
        <v>0.20869565217391303</v>
      </c>
      <c r="U17" s="81">
        <f t="shared" si="2"/>
        <v>0.08</v>
      </c>
      <c r="V17" s="40">
        <f>Посещаемость!BI17</f>
        <v>0.75</v>
      </c>
      <c r="W17" s="40">
        <f t="shared" si="3"/>
        <v>0.08</v>
      </c>
      <c r="X17" s="64">
        <f t="shared" si="4"/>
        <v>0.21400000000000002</v>
      </c>
      <c r="Y17" s="17" t="str">
        <f t="shared" si="5"/>
        <v>Неудовлетворительно</v>
      </c>
    </row>
    <row r="18" spans="1:25" x14ac:dyDescent="0.25">
      <c r="A18" s="67">
        <v>16</v>
      </c>
      <c r="B18" s="2" t="s">
        <v>489</v>
      </c>
      <c r="C18" s="16">
        <f>Лаб0!N18</f>
        <v>0</v>
      </c>
      <c r="D18" s="16">
        <f>Лаб1!AC18</f>
        <v>7.8216000000000001</v>
      </c>
      <c r="E18" s="16">
        <f>Лаб2!AB18</f>
        <v>6.0780000000000003</v>
      </c>
      <c r="F18" s="18">
        <f>Лаб3!Q18</f>
        <v>5.31</v>
      </c>
      <c r="G18" s="18">
        <f>Лаб4!K18</f>
        <v>8.25</v>
      </c>
      <c r="H18" s="18">
        <f>Лаб5!U18</f>
        <v>5.1897058823529409</v>
      </c>
      <c r="I18" s="18">
        <f>Лаб6!Q18</f>
        <v>5.7374999999999998</v>
      </c>
      <c r="J18" s="18">
        <f>Лаб7!R18</f>
        <v>2.52</v>
      </c>
      <c r="K18" s="18"/>
      <c r="L18" s="18"/>
      <c r="M18" s="18">
        <v>20</v>
      </c>
      <c r="N18" s="19">
        <f>Посещаемость!BJ18</f>
        <v>0.8</v>
      </c>
      <c r="O18" s="82">
        <f t="shared" si="0"/>
        <v>60.906805882352941</v>
      </c>
      <c r="P18" s="7">
        <f t="shared" si="1"/>
        <v>61.706805882352938</v>
      </c>
      <c r="Q18" s="7"/>
      <c r="R18" s="63">
        <f>Посещаемость!BG18</f>
        <v>5</v>
      </c>
      <c r="S18" s="81">
        <f t="shared" si="2"/>
        <v>5.0755671568627454</v>
      </c>
      <c r="T18" s="81">
        <f t="shared" si="2"/>
        <v>2.6481219948849106</v>
      </c>
      <c r="U18" s="81">
        <f t="shared" si="2"/>
        <v>1.0151134313725489</v>
      </c>
      <c r="V18" s="40">
        <f>Посещаемость!BI18</f>
        <v>0.84375</v>
      </c>
      <c r="W18" s="40">
        <f t="shared" si="3"/>
        <v>1.0151134313725489</v>
      </c>
      <c r="X18" s="64">
        <f t="shared" si="4"/>
        <v>0.9808407450980392</v>
      </c>
      <c r="Y18" s="17" t="str">
        <f t="shared" si="5"/>
        <v>Удовлетворительно</v>
      </c>
    </row>
    <row r="19" spans="1:25" x14ac:dyDescent="0.25">
      <c r="A19" s="67">
        <v>17</v>
      </c>
      <c r="B19" s="2" t="s">
        <v>475</v>
      </c>
      <c r="C19" s="16">
        <f>Лаб0!N19</f>
        <v>0</v>
      </c>
      <c r="D19" s="16">
        <f>Лаб1!AC19</f>
        <v>0</v>
      </c>
      <c r="E19" s="16">
        <f>Лаб2!AB19</f>
        <v>0</v>
      </c>
      <c r="F19" s="18">
        <f>Лаб3!Q19</f>
        <v>0</v>
      </c>
      <c r="G19" s="18">
        <f>Лаб4!K19</f>
        <v>0</v>
      </c>
      <c r="H19" s="18">
        <f>Лаб5!U19</f>
        <v>0</v>
      </c>
      <c r="I19" s="18">
        <f>Лаб6!Q19</f>
        <v>0</v>
      </c>
      <c r="J19" s="18">
        <f>Лаб7!R19</f>
        <v>0</v>
      </c>
      <c r="K19" s="18"/>
      <c r="L19" s="18"/>
      <c r="M19" s="18"/>
      <c r="N19" s="19">
        <f>Посещаемость!BJ19</f>
        <v>-2.7</v>
      </c>
      <c r="O19" s="82">
        <f t="shared" si="0"/>
        <v>0</v>
      </c>
      <c r="P19" s="7">
        <f t="shared" si="1"/>
        <v>-2.7</v>
      </c>
      <c r="Q19" s="7"/>
      <c r="R19" s="63">
        <f>Посещаемость!BG19</f>
        <v>19</v>
      </c>
      <c r="S19" s="81">
        <f t="shared" si="2"/>
        <v>0</v>
      </c>
      <c r="T19" s="81">
        <f t="shared" si="2"/>
        <v>0</v>
      </c>
      <c r="U19" s="81">
        <f t="shared" si="2"/>
        <v>0</v>
      </c>
      <c r="V19" s="40">
        <f>Посещаемость!BI19</f>
        <v>0.40625</v>
      </c>
      <c r="W19" s="40">
        <f t="shared" si="3"/>
        <v>0</v>
      </c>
      <c r="X19" s="64">
        <f t="shared" si="4"/>
        <v>8.1250000000000003E-2</v>
      </c>
      <c r="Y19" s="17" t="str">
        <f t="shared" si="5"/>
        <v>Неудовлетворительно</v>
      </c>
    </row>
    <row r="20" spans="1:25" x14ac:dyDescent="0.25">
      <c r="A20" s="67">
        <v>18</v>
      </c>
      <c r="B20" s="2" t="s">
        <v>490</v>
      </c>
      <c r="C20" s="16">
        <f>Лаб0!N20</f>
        <v>0</v>
      </c>
      <c r="D20" s="16">
        <f>Лаб1!AC20</f>
        <v>4.8</v>
      </c>
      <c r="E20" s="16">
        <f>Лаб2!AB20</f>
        <v>0</v>
      </c>
      <c r="F20" s="18">
        <f>Лаб3!Q20</f>
        <v>5.0650000000000004</v>
      </c>
      <c r="G20" s="18">
        <f>Лаб4!K20</f>
        <v>0</v>
      </c>
      <c r="H20" s="18">
        <f>Лаб5!U20</f>
        <v>0</v>
      </c>
      <c r="I20" s="18">
        <f>Лаб6!Q20</f>
        <v>0</v>
      </c>
      <c r="J20" s="18">
        <f>Лаб7!R20</f>
        <v>0</v>
      </c>
      <c r="K20" s="18"/>
      <c r="L20" s="18"/>
      <c r="M20" s="18"/>
      <c r="N20" s="19">
        <f>Посещаемость!BJ20</f>
        <v>-1.4000000000000001</v>
      </c>
      <c r="O20" s="82">
        <f t="shared" si="0"/>
        <v>9.8650000000000002</v>
      </c>
      <c r="P20" s="7">
        <f t="shared" si="1"/>
        <v>8.4649999999999999</v>
      </c>
      <c r="Q20" s="7"/>
      <c r="R20" s="63">
        <f>Посещаемость!BG20</f>
        <v>13</v>
      </c>
      <c r="S20" s="81">
        <f t="shared" si="2"/>
        <v>0.82208333333333339</v>
      </c>
      <c r="T20" s="81">
        <f t="shared" si="2"/>
        <v>0.42891304347826087</v>
      </c>
      <c r="U20" s="81">
        <f t="shared" si="2"/>
        <v>0.16441666666666668</v>
      </c>
      <c r="V20" s="40">
        <f>Посещаемость!BI20</f>
        <v>0.59375</v>
      </c>
      <c r="W20" s="40">
        <f t="shared" si="3"/>
        <v>0.16441666666666668</v>
      </c>
      <c r="X20" s="64">
        <f t="shared" si="4"/>
        <v>0.25028333333333336</v>
      </c>
      <c r="Y20" s="17" t="str">
        <f t="shared" si="5"/>
        <v>Неудовлетворительно</v>
      </c>
    </row>
    <row r="21" spans="1:25" x14ac:dyDescent="0.25">
      <c r="A21" s="67">
        <v>19</v>
      </c>
      <c r="B21" s="2" t="s">
        <v>491</v>
      </c>
      <c r="C21" s="16">
        <f>Лаб0!N21</f>
        <v>0</v>
      </c>
      <c r="D21" s="16">
        <f>Лаб1!AC21</f>
        <v>3</v>
      </c>
      <c r="E21" s="16">
        <f>Лаб2!AB21</f>
        <v>0</v>
      </c>
      <c r="F21" s="18">
        <f>Лаб3!Q21</f>
        <v>0</v>
      </c>
      <c r="G21" s="18">
        <f>Лаб4!K21</f>
        <v>0</v>
      </c>
      <c r="H21" s="18">
        <f>Лаб5!U21</f>
        <v>0</v>
      </c>
      <c r="I21" s="18">
        <f>Лаб6!Q21</f>
        <v>0</v>
      </c>
      <c r="J21" s="18">
        <f>Лаб7!R21</f>
        <v>0</v>
      </c>
      <c r="K21" s="18"/>
      <c r="L21" s="18"/>
      <c r="M21" s="18"/>
      <c r="N21" s="19">
        <f>Посещаемость!BJ21</f>
        <v>1.3</v>
      </c>
      <c r="O21" s="82">
        <f t="shared" si="0"/>
        <v>3</v>
      </c>
      <c r="P21" s="7">
        <f t="shared" si="1"/>
        <v>4.3</v>
      </c>
      <c r="Q21" s="7"/>
      <c r="R21" s="63">
        <f>Посещаемость!BG21</f>
        <v>1</v>
      </c>
      <c r="S21" s="81">
        <f t="shared" si="2"/>
        <v>0.25</v>
      </c>
      <c r="T21" s="81">
        <f t="shared" si="2"/>
        <v>0.13043478260869565</v>
      </c>
      <c r="U21" s="81">
        <f t="shared" si="2"/>
        <v>0.05</v>
      </c>
      <c r="V21" s="40">
        <f>Посещаемость!BI21</f>
        <v>0.96875</v>
      </c>
      <c r="W21" s="40">
        <f t="shared" si="3"/>
        <v>0.05</v>
      </c>
      <c r="X21" s="64">
        <f t="shared" si="4"/>
        <v>0.23375000000000001</v>
      </c>
      <c r="Y21" s="17" t="str">
        <f t="shared" si="5"/>
        <v>Неудовлетворительно</v>
      </c>
    </row>
    <row r="22" spans="1:25" x14ac:dyDescent="0.25">
      <c r="A22" s="67">
        <v>20</v>
      </c>
      <c r="B22" s="2" t="s">
        <v>477</v>
      </c>
      <c r="C22" s="16">
        <f>Лаб0!N22</f>
        <v>0</v>
      </c>
      <c r="D22" s="16">
        <f>Лаб1!AC22</f>
        <v>0</v>
      </c>
      <c r="E22" s="16">
        <f>Лаб2!AB22</f>
        <v>0</v>
      </c>
      <c r="F22" s="18">
        <f>Лаб3!Q22</f>
        <v>0</v>
      </c>
      <c r="G22" s="18">
        <f>Лаб4!K22</f>
        <v>0</v>
      </c>
      <c r="H22" s="18">
        <f>Лаб5!U22</f>
        <v>0</v>
      </c>
      <c r="I22" s="18">
        <f>Лаб6!Q22</f>
        <v>0</v>
      </c>
      <c r="J22" s="18">
        <f>Лаб7!R22</f>
        <v>0</v>
      </c>
      <c r="K22" s="18"/>
      <c r="L22" s="18"/>
      <c r="M22" s="18"/>
      <c r="N22" s="19">
        <f>Посещаемость!BJ22</f>
        <v>-2.8000000000000003</v>
      </c>
      <c r="O22" s="82">
        <f t="shared" si="0"/>
        <v>0</v>
      </c>
      <c r="P22" s="7">
        <f t="shared" si="1"/>
        <v>-2.8000000000000003</v>
      </c>
      <c r="Q22" s="7"/>
      <c r="R22" s="63">
        <f>Посещаемость!BG22</f>
        <v>20</v>
      </c>
      <c r="S22" s="81">
        <f t="shared" si="2"/>
        <v>0</v>
      </c>
      <c r="T22" s="81">
        <f t="shared" si="2"/>
        <v>0</v>
      </c>
      <c r="U22" s="81">
        <f t="shared" si="2"/>
        <v>0</v>
      </c>
      <c r="V22" s="40">
        <f>Посещаемость!BI22</f>
        <v>0.375</v>
      </c>
      <c r="W22" s="40">
        <f t="shared" si="3"/>
        <v>0</v>
      </c>
      <c r="X22" s="64">
        <f t="shared" si="4"/>
        <v>7.5000000000000011E-2</v>
      </c>
      <c r="Y22" s="17" t="str">
        <f t="shared" si="5"/>
        <v>Неудовлетворительно</v>
      </c>
    </row>
    <row r="23" spans="1:25" x14ac:dyDescent="0.25">
      <c r="A23" s="67">
        <v>21</v>
      </c>
      <c r="B23" s="2" t="s">
        <v>492</v>
      </c>
      <c r="C23" s="16">
        <f>Лаб0!N23</f>
        <v>0</v>
      </c>
      <c r="D23" s="16">
        <f>Лаб1!AC23</f>
        <v>6.7894736842105265</v>
      </c>
      <c r="E23" s="16">
        <f>Лаб2!AB23</f>
        <v>6.3449999999999998</v>
      </c>
      <c r="F23" s="18">
        <f>Лаб3!Q23</f>
        <v>4.2</v>
      </c>
      <c r="G23" s="18">
        <f>Лаб4!K23</f>
        <v>3</v>
      </c>
      <c r="H23" s="18">
        <f>Лаб5!U23</f>
        <v>5.5316176470588232</v>
      </c>
      <c r="I23" s="18">
        <f>Лаб6!Q23</f>
        <v>7.0071428571428571</v>
      </c>
      <c r="J23" s="18">
        <f>Лаб7!R23</f>
        <v>6.5164285714285715</v>
      </c>
      <c r="K23" s="18"/>
      <c r="L23" s="18"/>
      <c r="M23" s="18">
        <v>29</v>
      </c>
      <c r="N23" s="19">
        <f>Посещаемость!BJ23</f>
        <v>2.6</v>
      </c>
      <c r="O23" s="82">
        <f t="shared" si="0"/>
        <v>68.389662759840775</v>
      </c>
      <c r="P23" s="7">
        <f t="shared" si="1"/>
        <v>70.989662759840769</v>
      </c>
      <c r="Q23" s="7"/>
      <c r="R23" s="63">
        <f>Посещаемость!BG23</f>
        <v>0</v>
      </c>
      <c r="S23" s="81">
        <f t="shared" si="2"/>
        <v>5.6991385633200649</v>
      </c>
      <c r="T23" s="81">
        <f t="shared" si="2"/>
        <v>2.9734635982539466</v>
      </c>
      <c r="U23" s="81">
        <f t="shared" si="2"/>
        <v>1.1398277126640128</v>
      </c>
      <c r="V23" s="40">
        <f>Посещаемость!BI23</f>
        <v>1</v>
      </c>
      <c r="W23" s="40">
        <f t="shared" si="3"/>
        <v>1.1398277126640128</v>
      </c>
      <c r="X23" s="64">
        <f t="shared" si="4"/>
        <v>1.1118621701312104</v>
      </c>
      <c r="Y23" s="17" t="str">
        <f t="shared" si="5"/>
        <v>Удовлетворительно</v>
      </c>
    </row>
    <row r="24" spans="1:25" x14ac:dyDescent="0.25">
      <c r="A24" s="67">
        <v>22</v>
      </c>
      <c r="B24" s="2" t="s">
        <v>493</v>
      </c>
      <c r="C24" s="16">
        <f>Лаб0!N24</f>
        <v>0</v>
      </c>
      <c r="D24" s="16">
        <f>Лаб1!AC24</f>
        <v>7.2726315789473688</v>
      </c>
      <c r="E24" s="16">
        <f>Лаб2!AB24</f>
        <v>6.0990000000000002</v>
      </c>
      <c r="F24" s="18">
        <f>Лаб3!Q24</f>
        <v>5.367</v>
      </c>
      <c r="G24" s="18">
        <f>Лаб4!K24</f>
        <v>6.0395999999999992</v>
      </c>
      <c r="H24" s="18">
        <f>Лаб5!U24</f>
        <v>5.4345588235294118</v>
      </c>
      <c r="I24" s="18">
        <f>Лаб6!Q24</f>
        <v>4.95</v>
      </c>
      <c r="J24" s="18">
        <f>Лаб7!R24</f>
        <v>4.5</v>
      </c>
      <c r="K24" s="18"/>
      <c r="L24" s="18"/>
      <c r="M24" s="18"/>
      <c r="N24" s="19">
        <f>Посещаемость!BJ24</f>
        <v>2.5</v>
      </c>
      <c r="O24" s="82">
        <f t="shared" si="0"/>
        <v>39.66279040247678</v>
      </c>
      <c r="P24" s="7">
        <f t="shared" si="1"/>
        <v>42.16279040247678</v>
      </c>
      <c r="Q24" s="7"/>
      <c r="R24" s="63">
        <f>Посещаемость!BG24</f>
        <v>0</v>
      </c>
      <c r="S24" s="81">
        <f t="shared" si="2"/>
        <v>3.3052325335397317</v>
      </c>
      <c r="T24" s="81">
        <f t="shared" si="2"/>
        <v>1.724469147933773</v>
      </c>
      <c r="U24" s="81">
        <f t="shared" si="2"/>
        <v>0.66104650670794629</v>
      </c>
      <c r="V24" s="40">
        <f>Посещаемость!BI24</f>
        <v>1</v>
      </c>
      <c r="W24" s="40">
        <f t="shared" si="3"/>
        <v>0.66104650670794629</v>
      </c>
      <c r="X24" s="64">
        <f t="shared" si="4"/>
        <v>0.72883720536635699</v>
      </c>
      <c r="Y24" s="17" t="str">
        <f t="shared" si="5"/>
        <v>Неудовлетворительно</v>
      </c>
    </row>
    <row r="25" spans="1:25" x14ac:dyDescent="0.25">
      <c r="A25" s="67">
        <v>23</v>
      </c>
      <c r="B25" s="2" t="s">
        <v>494</v>
      </c>
      <c r="C25" s="16">
        <f>Лаб0!N25</f>
        <v>0</v>
      </c>
      <c r="D25" s="16">
        <f>Лаб1!AC25</f>
        <v>6.1223684210526317</v>
      </c>
      <c r="E25" s="16">
        <f>Лаб2!AB25</f>
        <v>0</v>
      </c>
      <c r="F25" s="18">
        <f>Лаб3!Q25</f>
        <v>0</v>
      </c>
      <c r="G25" s="18">
        <f>Лаб4!K25</f>
        <v>0</v>
      </c>
      <c r="H25" s="18">
        <f>Лаб5!U25</f>
        <v>0</v>
      </c>
      <c r="I25" s="18">
        <f>Лаб6!Q25</f>
        <v>0</v>
      </c>
      <c r="J25" s="18">
        <f>Лаб7!R25</f>
        <v>0</v>
      </c>
      <c r="K25" s="18"/>
      <c r="L25" s="18"/>
      <c r="M25" s="18"/>
      <c r="N25" s="19">
        <f>Посещаемость!BJ25</f>
        <v>-2.9000000000000004</v>
      </c>
      <c r="O25" s="82">
        <f t="shared" si="0"/>
        <v>6.1223684210526317</v>
      </c>
      <c r="P25" s="7">
        <f t="shared" si="1"/>
        <v>3.2223684210526313</v>
      </c>
      <c r="Q25" s="7"/>
      <c r="R25" s="63">
        <f>Посещаемость!BG25</f>
        <v>19</v>
      </c>
      <c r="S25" s="81">
        <f t="shared" si="2"/>
        <v>0.51019736842105268</v>
      </c>
      <c r="T25" s="81">
        <f t="shared" si="2"/>
        <v>0.26618993135011443</v>
      </c>
      <c r="U25" s="81">
        <f t="shared" si="2"/>
        <v>0.10203947368421053</v>
      </c>
      <c r="V25" s="40">
        <f>Посещаемость!BI25</f>
        <v>0.40625</v>
      </c>
      <c r="W25" s="40">
        <f t="shared" si="3"/>
        <v>0.10203947368421053</v>
      </c>
      <c r="X25" s="64">
        <f t="shared" si="4"/>
        <v>0.16288157894736843</v>
      </c>
      <c r="Y25" s="17" t="str">
        <f t="shared" si="5"/>
        <v>Неудовлетворительно</v>
      </c>
    </row>
    <row r="26" spans="1:25" x14ac:dyDescent="0.25">
      <c r="A26" s="67">
        <v>24</v>
      </c>
      <c r="B26" s="2" t="s">
        <v>476</v>
      </c>
      <c r="C26" s="16">
        <f>Лаб0!N26</f>
        <v>0</v>
      </c>
      <c r="D26" s="16">
        <f>Лаб1!AC26</f>
        <v>0</v>
      </c>
      <c r="E26" s="16">
        <f>Лаб2!AB26</f>
        <v>0</v>
      </c>
      <c r="F26" s="18">
        <f>Лаб3!Q26</f>
        <v>0</v>
      </c>
      <c r="G26" s="18">
        <f>Лаб4!K26</f>
        <v>0</v>
      </c>
      <c r="H26" s="18">
        <f>Лаб5!U26</f>
        <v>0</v>
      </c>
      <c r="I26" s="18">
        <f>Лаб6!Q26</f>
        <v>0</v>
      </c>
      <c r="J26" s="18">
        <f>Лаб7!R26</f>
        <v>0</v>
      </c>
      <c r="K26" s="18"/>
      <c r="L26" s="18"/>
      <c r="M26" s="18"/>
      <c r="N26" s="19">
        <f>Посещаемость!BJ26</f>
        <v>-2.3000000000000003</v>
      </c>
      <c r="O26" s="82">
        <f t="shared" si="0"/>
        <v>0</v>
      </c>
      <c r="P26" s="7">
        <f t="shared" si="1"/>
        <v>-2.3000000000000003</v>
      </c>
      <c r="Q26" s="7"/>
      <c r="R26" s="63">
        <f>Посещаемость!BG26</f>
        <v>16</v>
      </c>
      <c r="S26" s="81">
        <f t="shared" si="2"/>
        <v>0</v>
      </c>
      <c r="T26" s="81">
        <f t="shared" si="2"/>
        <v>0</v>
      </c>
      <c r="U26" s="81">
        <f t="shared" si="2"/>
        <v>0</v>
      </c>
      <c r="V26" s="40">
        <f>Посещаемость!BI26</f>
        <v>0.5</v>
      </c>
      <c r="W26" s="40">
        <f t="shared" si="3"/>
        <v>0</v>
      </c>
      <c r="X26" s="64">
        <f t="shared" si="4"/>
        <v>0.1</v>
      </c>
      <c r="Y26" s="17" t="str">
        <f t="shared" si="5"/>
        <v>Неудовлетворительно</v>
      </c>
    </row>
    <row r="27" spans="1:25" x14ac:dyDescent="0.25">
      <c r="A27" s="67">
        <v>25</v>
      </c>
      <c r="B27" s="2" t="s">
        <v>495</v>
      </c>
      <c r="C27" s="16">
        <f>Лаб0!N27</f>
        <v>0</v>
      </c>
      <c r="D27" s="16">
        <f>Лаб1!AC27</f>
        <v>6.8889473684210527</v>
      </c>
      <c r="E27" s="16">
        <f>Лаб2!AB27</f>
        <v>5.532</v>
      </c>
      <c r="F27" s="18">
        <f>Лаб3!Q27</f>
        <v>5.0439999999999996</v>
      </c>
      <c r="G27" s="18">
        <f>Лаб4!K27</f>
        <v>7.7571428571428571</v>
      </c>
      <c r="H27" s="18">
        <f>Лаб5!U27</f>
        <v>5.2984558823529415</v>
      </c>
      <c r="I27" s="18">
        <f>Лаб6!Q27</f>
        <v>6.0107142857142861</v>
      </c>
      <c r="J27" s="18">
        <f>Лаб7!R27</f>
        <v>1.4850000000000001</v>
      </c>
      <c r="K27" s="18"/>
      <c r="L27" s="18"/>
      <c r="M27" s="18">
        <v>21.1</v>
      </c>
      <c r="N27" s="19">
        <f>Посещаемость!BJ27</f>
        <v>2.9000000000000004</v>
      </c>
      <c r="O27" s="82">
        <f t="shared" si="0"/>
        <v>59.116260393631137</v>
      </c>
      <c r="P27" s="7">
        <f t="shared" si="1"/>
        <v>62.016260393631136</v>
      </c>
      <c r="Q27" s="7"/>
      <c r="R27" s="63">
        <f>Посещаемость!BG27</f>
        <v>0</v>
      </c>
      <c r="S27" s="81">
        <f t="shared" si="2"/>
        <v>4.9263550328025945</v>
      </c>
      <c r="T27" s="81">
        <f t="shared" si="2"/>
        <v>2.5702721910274406</v>
      </c>
      <c r="U27" s="81">
        <f t="shared" si="2"/>
        <v>0.98527100656051891</v>
      </c>
      <c r="V27" s="40">
        <f>Посещаемость!BI27</f>
        <v>1</v>
      </c>
      <c r="W27" s="40">
        <f t="shared" si="3"/>
        <v>0.98527100656051891</v>
      </c>
      <c r="X27" s="64">
        <f t="shared" si="4"/>
        <v>0.98821680524841526</v>
      </c>
      <c r="Y27" s="17" t="str">
        <f t="shared" si="5"/>
        <v>Удовлетворительно</v>
      </c>
    </row>
    <row r="28" spans="1:25" x14ac:dyDescent="0.25">
      <c r="A28" s="67">
        <v>26</v>
      </c>
      <c r="B28" s="2" t="s">
        <v>496</v>
      </c>
      <c r="C28" s="16">
        <f>Лаб0!N28</f>
        <v>0</v>
      </c>
      <c r="D28" s="16">
        <f>Лаб1!AC28</f>
        <v>6.3536842105263158</v>
      </c>
      <c r="E28" s="16">
        <f>Лаб2!AB28</f>
        <v>6.24</v>
      </c>
      <c r="F28" s="18">
        <f>Лаб3!Q28</f>
        <v>5.0019999999999998</v>
      </c>
      <c r="G28" s="18">
        <f>Лаб4!K28</f>
        <v>0</v>
      </c>
      <c r="H28" s="18">
        <f>Лаб5!U28</f>
        <v>5.4102941176470587</v>
      </c>
      <c r="I28" s="18">
        <f>Лаб6!Q28</f>
        <v>3.375</v>
      </c>
      <c r="J28" s="18">
        <f>Лаб7!R28</f>
        <v>3.9300000000000006</v>
      </c>
      <c r="K28" s="18"/>
      <c r="L28" s="18"/>
      <c r="M28" s="18"/>
      <c r="N28" s="19">
        <f>Посещаемость!BJ28</f>
        <v>2.3000000000000003</v>
      </c>
      <c r="O28" s="82">
        <f t="shared" si="0"/>
        <v>30.310978328173373</v>
      </c>
      <c r="P28" s="7">
        <f t="shared" si="1"/>
        <v>32.610978328173374</v>
      </c>
      <c r="Q28" s="7"/>
      <c r="R28" s="63">
        <f>Посещаемость!BG28</f>
        <v>0</v>
      </c>
      <c r="S28" s="81">
        <f t="shared" si="2"/>
        <v>2.5259148606811146</v>
      </c>
      <c r="T28" s="81">
        <f t="shared" si="2"/>
        <v>1.3178686229640597</v>
      </c>
      <c r="U28" s="81">
        <f t="shared" si="2"/>
        <v>0.50518297213622287</v>
      </c>
      <c r="V28" s="40">
        <f>Посещаемость!BI28</f>
        <v>1</v>
      </c>
      <c r="W28" s="40">
        <f t="shared" si="3"/>
        <v>0.50518297213622287</v>
      </c>
      <c r="X28" s="64">
        <f t="shared" si="4"/>
        <v>0.60414637770897839</v>
      </c>
      <c r="Y28" s="17" t="str">
        <f t="shared" si="5"/>
        <v>Неудовлетворительно</v>
      </c>
    </row>
    <row r="29" spans="1:25" x14ac:dyDescent="0.25">
      <c r="A29" s="67">
        <v>27</v>
      </c>
      <c r="B29" s="2" t="s">
        <v>472</v>
      </c>
      <c r="C29" s="16">
        <f>Лаб0!N29</f>
        <v>0</v>
      </c>
      <c r="D29" s="16">
        <f>Лаб1!AC29</f>
        <v>8.7515999999999998</v>
      </c>
      <c r="E29" s="16">
        <f>Лаб2!AB29</f>
        <v>8.3512500000000003</v>
      </c>
      <c r="F29" s="18">
        <f>Лаб3!Q29</f>
        <v>5.6684999999999999</v>
      </c>
      <c r="G29" s="18">
        <f>Лаб4!K29</f>
        <v>5.3899999999999988</v>
      </c>
      <c r="H29" s="18">
        <f>Лаб5!U29</f>
        <v>5.2889705882352942</v>
      </c>
      <c r="I29" s="18">
        <f>Лаб6!Q29</f>
        <v>4.95</v>
      </c>
      <c r="J29" s="18">
        <f>Лаб7!R29</f>
        <v>7.5</v>
      </c>
      <c r="K29" s="18"/>
      <c r="L29" s="18"/>
      <c r="M29" s="18">
        <v>40</v>
      </c>
      <c r="N29" s="19">
        <f>Посещаемость!BJ29</f>
        <v>0</v>
      </c>
      <c r="O29" s="82">
        <f t="shared" si="0"/>
        <v>85.900320588235303</v>
      </c>
      <c r="P29" s="7">
        <f t="shared" si="1"/>
        <v>85.900320588235303</v>
      </c>
      <c r="Q29" s="7"/>
      <c r="R29" s="63">
        <f>Посещаемость!BG29</f>
        <v>0</v>
      </c>
      <c r="S29" s="81">
        <f t="shared" si="2"/>
        <v>7.1583600490196089</v>
      </c>
      <c r="T29" s="81">
        <f t="shared" si="2"/>
        <v>3.7347965473145783</v>
      </c>
      <c r="U29" s="81">
        <f t="shared" si="2"/>
        <v>1.4316720098039217</v>
      </c>
      <c r="V29" s="40">
        <f>Посещаемость!BI29</f>
        <v>1</v>
      </c>
      <c r="W29" s="40">
        <f t="shared" si="3"/>
        <v>1.4316720098039217</v>
      </c>
      <c r="X29" s="64">
        <f t="shared" si="4"/>
        <v>1.3453376078431374</v>
      </c>
      <c r="Y29" s="17" t="str">
        <f t="shared" si="5"/>
        <v>Хорошо</v>
      </c>
    </row>
    <row r="30" spans="1:25" x14ac:dyDescent="0.25">
      <c r="A30" s="67">
        <v>28</v>
      </c>
      <c r="B30" s="2" t="s">
        <v>497</v>
      </c>
      <c r="C30" s="16">
        <f>Лаб0!N30</f>
        <v>0</v>
      </c>
      <c r="D30" s="16">
        <f>Лаб1!AC30</f>
        <v>6.5810526315789479</v>
      </c>
      <c r="E30" s="16">
        <f>Лаб2!AB30</f>
        <v>6.0449999999999999</v>
      </c>
      <c r="F30" s="18">
        <f>Лаб3!Q30</f>
        <v>5.0860000000000003</v>
      </c>
      <c r="G30" s="18">
        <f>Лаб4!K30</f>
        <v>6</v>
      </c>
      <c r="H30" s="18">
        <f>Лаб5!U30</f>
        <v>5.4102941176470587</v>
      </c>
      <c r="I30" s="18">
        <f>Лаб6!Q30</f>
        <v>6.3053571428571429</v>
      </c>
      <c r="J30" s="18">
        <f>Лаб7!R30</f>
        <v>3.24</v>
      </c>
      <c r="K30" s="18"/>
      <c r="L30" s="18"/>
      <c r="M30" s="18">
        <v>20</v>
      </c>
      <c r="N30" s="19">
        <f>Посещаемость!BJ30</f>
        <v>1.5</v>
      </c>
      <c r="O30" s="82">
        <f t="shared" si="0"/>
        <v>58.667703892083154</v>
      </c>
      <c r="P30" s="7">
        <f t="shared" si="1"/>
        <v>60.167703892083154</v>
      </c>
      <c r="Q30" s="7"/>
      <c r="R30" s="63">
        <f>Посещаемость!BG30</f>
        <v>3</v>
      </c>
      <c r="S30" s="81">
        <f t="shared" si="2"/>
        <v>4.8889753243402625</v>
      </c>
      <c r="T30" s="81">
        <f t="shared" si="2"/>
        <v>2.5507697344383979</v>
      </c>
      <c r="U30" s="81">
        <f t="shared" si="2"/>
        <v>0.97779506486805257</v>
      </c>
      <c r="V30" s="40">
        <f>Посещаемость!BI30</f>
        <v>0.90625</v>
      </c>
      <c r="W30" s="40">
        <f t="shared" si="3"/>
        <v>0.97779506486805257</v>
      </c>
      <c r="X30" s="64">
        <f t="shared" si="4"/>
        <v>0.96348605189444214</v>
      </c>
      <c r="Y30" s="17" t="str">
        <f t="shared" si="5"/>
        <v>Удовлетворительно</v>
      </c>
    </row>
    <row r="31" spans="1:25" x14ac:dyDescent="0.25">
      <c r="A31" s="67">
        <v>29</v>
      </c>
      <c r="B31" s="124"/>
      <c r="C31" s="16">
        <f>Лаб0!N31</f>
        <v>0</v>
      </c>
      <c r="D31" s="16">
        <f>Лаб1!AC31</f>
        <v>0</v>
      </c>
      <c r="E31" s="16">
        <f>Лаб2!AB31</f>
        <v>0</v>
      </c>
      <c r="F31" s="18">
        <f>Лаб3!Q31</f>
        <v>0</v>
      </c>
      <c r="G31" s="18">
        <f>Лаб4!K31</f>
        <v>0</v>
      </c>
      <c r="H31" s="18">
        <f>Лаб5!U31</f>
        <v>0</v>
      </c>
      <c r="I31" s="18">
        <f>Лаб6!Q31</f>
        <v>0</v>
      </c>
      <c r="J31" s="18">
        <f>Лаб7!R31</f>
        <v>0</v>
      </c>
      <c r="K31" s="18"/>
      <c r="L31" s="18"/>
      <c r="M31" s="18"/>
      <c r="N31" s="19">
        <f>Посещаемость!BJ31</f>
        <v>0</v>
      </c>
      <c r="O31" s="82">
        <f t="shared" si="0"/>
        <v>0</v>
      </c>
      <c r="P31" s="7">
        <f t="shared" si="1"/>
        <v>0</v>
      </c>
      <c r="Q31" s="7"/>
      <c r="R31" s="63">
        <f>Посещаемость!BG31</f>
        <v>0</v>
      </c>
      <c r="S31" s="81">
        <f t="shared" si="2"/>
        <v>0</v>
      </c>
      <c r="T31" s="81">
        <f t="shared" si="2"/>
        <v>0</v>
      </c>
      <c r="U31" s="81">
        <f t="shared" si="2"/>
        <v>0</v>
      </c>
      <c r="V31" s="40">
        <f>Посещаемость!BI31</f>
        <v>0</v>
      </c>
      <c r="W31" s="40">
        <f t="shared" si="3"/>
        <v>0</v>
      </c>
      <c r="X31" s="64">
        <f t="shared" si="4"/>
        <v>0</v>
      </c>
      <c r="Y31" s="17" t="str">
        <f t="shared" si="5"/>
        <v>Неудовлетворительно</v>
      </c>
    </row>
    <row r="32" spans="1:25" x14ac:dyDescent="0.25">
      <c r="A32" s="67">
        <v>30</v>
      </c>
      <c r="B32" s="124"/>
      <c r="C32" s="16">
        <f>Лаб0!N32</f>
        <v>0</v>
      </c>
      <c r="D32" s="16">
        <f>Лаб1!AC32</f>
        <v>0</v>
      </c>
      <c r="E32" s="16">
        <f>Лаб2!AB32</f>
        <v>0</v>
      </c>
      <c r="F32" s="18">
        <f>Лаб3!Q32</f>
        <v>0</v>
      </c>
      <c r="G32" s="18">
        <f>Лаб4!K32</f>
        <v>0</v>
      </c>
      <c r="H32" s="18">
        <f>Лаб5!U32</f>
        <v>0</v>
      </c>
      <c r="I32" s="18">
        <f>Лаб6!Q32</f>
        <v>0</v>
      </c>
      <c r="J32" s="18">
        <f>Лаб7!R32</f>
        <v>0</v>
      </c>
      <c r="K32" s="18"/>
      <c r="L32" s="18"/>
      <c r="M32" s="18"/>
      <c r="N32" s="19">
        <f>Посещаемость!BJ32</f>
        <v>0</v>
      </c>
      <c r="O32" s="82">
        <f t="shared" si="0"/>
        <v>0</v>
      </c>
      <c r="P32" s="7">
        <f t="shared" si="1"/>
        <v>0</v>
      </c>
      <c r="Q32" s="7"/>
      <c r="R32" s="63">
        <f>Посещаемость!BG32</f>
        <v>0</v>
      </c>
      <c r="S32" s="81">
        <f t="shared" si="2"/>
        <v>0</v>
      </c>
      <c r="T32" s="81">
        <f t="shared" si="2"/>
        <v>0</v>
      </c>
      <c r="U32" s="81">
        <f t="shared" si="2"/>
        <v>0</v>
      </c>
      <c r="V32" s="40">
        <f>Посещаемость!BI32</f>
        <v>0</v>
      </c>
      <c r="W32" s="40">
        <f t="shared" si="3"/>
        <v>0</v>
      </c>
      <c r="X32" s="64">
        <f t="shared" si="4"/>
        <v>0</v>
      </c>
      <c r="Y32" s="17" t="str">
        <f t="shared" si="5"/>
        <v>Неудовлетворительно</v>
      </c>
    </row>
    <row r="33" spans="1:25" ht="26.25" x14ac:dyDescent="0.25">
      <c r="A33" s="67"/>
      <c r="B33" s="65" t="s">
        <v>124</v>
      </c>
      <c r="C33" s="41" t="s">
        <v>292</v>
      </c>
      <c r="D33" s="41" t="s">
        <v>182</v>
      </c>
      <c r="E33" s="41" t="s">
        <v>30</v>
      </c>
      <c r="F33" s="41" t="s">
        <v>31</v>
      </c>
      <c r="G33" s="41" t="s">
        <v>32</v>
      </c>
      <c r="H33" s="41" t="s">
        <v>33</v>
      </c>
      <c r="I33" s="41" t="s">
        <v>39</v>
      </c>
      <c r="J33" s="41" t="s">
        <v>293</v>
      </c>
      <c r="K33" s="41" t="s">
        <v>294</v>
      </c>
      <c r="L33" s="41" t="s">
        <v>179</v>
      </c>
      <c r="M33" s="41" t="s">
        <v>592</v>
      </c>
      <c r="N33" s="78" t="s">
        <v>41</v>
      </c>
      <c r="O33" s="78" t="s">
        <v>53</v>
      </c>
      <c r="P33" s="41" t="s">
        <v>0</v>
      </c>
      <c r="Q33" s="41" t="s">
        <v>40</v>
      </c>
      <c r="R33" s="41" t="s">
        <v>49</v>
      </c>
      <c r="S33" s="78" t="s">
        <v>236</v>
      </c>
      <c r="T33" s="78" t="s">
        <v>237</v>
      </c>
      <c r="U33" s="78" t="s">
        <v>238</v>
      </c>
      <c r="V33" s="78" t="s">
        <v>239</v>
      </c>
      <c r="W33" s="78" t="s">
        <v>240</v>
      </c>
      <c r="X33" s="78" t="s">
        <v>51</v>
      </c>
      <c r="Y33" s="78" t="s">
        <v>19</v>
      </c>
    </row>
    <row r="34" spans="1:25" x14ac:dyDescent="0.25">
      <c r="A34" s="67">
        <v>1</v>
      </c>
      <c r="B34" s="2" t="s">
        <v>422</v>
      </c>
      <c r="C34" s="16">
        <f>Лаб0!N34</f>
        <v>0</v>
      </c>
      <c r="D34" s="16">
        <f>Лаб1!AC34</f>
        <v>6.1421052631578945</v>
      </c>
      <c r="E34" s="16">
        <f>Лаб2!AB34</f>
        <v>2.6459999999999999</v>
      </c>
      <c r="F34" s="18">
        <f>Лаб3!Q34</f>
        <v>0</v>
      </c>
      <c r="G34" s="18">
        <f>Лаб4!K34</f>
        <v>0</v>
      </c>
      <c r="H34" s="18">
        <f>Лаб5!U34</f>
        <v>0</v>
      </c>
      <c r="I34" s="18">
        <f>Лаб6!Q34</f>
        <v>0</v>
      </c>
      <c r="J34" s="18">
        <f>Лаб7!R34</f>
        <v>0</v>
      </c>
      <c r="K34" s="18"/>
      <c r="L34" s="18"/>
      <c r="M34" s="18"/>
      <c r="N34" s="19">
        <f>Посещаемость!BJ34</f>
        <v>1.2000000000000002</v>
      </c>
      <c r="O34" s="82">
        <f>SUM(C34:M34)</f>
        <v>8.7881052631578953</v>
      </c>
      <c r="P34" s="7">
        <f>SUM(C34:N34)</f>
        <v>9.9881052631578946</v>
      </c>
      <c r="Q34" s="7"/>
      <c r="R34" s="63">
        <f>Посещаемость!BG34</f>
        <v>4</v>
      </c>
      <c r="S34" s="81">
        <f>$O34/S$66</f>
        <v>0.73234210526315791</v>
      </c>
      <c r="T34" s="81">
        <f>$O34/T$66</f>
        <v>0.38209153318077804</v>
      </c>
      <c r="U34" s="81">
        <f>$O34/U$66</f>
        <v>0.14646842105263158</v>
      </c>
      <c r="V34" s="40">
        <f>Посещаемость!BI34</f>
        <v>0.875</v>
      </c>
      <c r="W34" s="40">
        <f>O34/$D$71</f>
        <v>0.14646842105263158</v>
      </c>
      <c r="X34" s="64">
        <f>MAX(0,W34*0.8+0.2*V34)</f>
        <v>0.29217473684210526</v>
      </c>
      <c r="Y34" s="17" t="str">
        <f>GetMark($D$71,$D$70,$D$69,P34)</f>
        <v>Неудовлетворительно</v>
      </c>
    </row>
    <row r="35" spans="1:25" x14ac:dyDescent="0.25">
      <c r="A35" s="67">
        <v>2</v>
      </c>
      <c r="B35" s="2" t="s">
        <v>423</v>
      </c>
      <c r="C35" s="16">
        <f>Лаб0!N35</f>
        <v>0</v>
      </c>
      <c r="D35" s="16">
        <f>Лаб1!AC35</f>
        <v>0</v>
      </c>
      <c r="E35" s="16">
        <f>Лаб2!AB35</f>
        <v>0</v>
      </c>
      <c r="F35" s="18">
        <f>Лаб3!Q35</f>
        <v>0</v>
      </c>
      <c r="G35" s="18">
        <f>Лаб4!K35</f>
        <v>0</v>
      </c>
      <c r="H35" s="18">
        <f>Лаб5!U35</f>
        <v>0</v>
      </c>
      <c r="I35" s="18">
        <f>Лаб6!Q35</f>
        <v>0</v>
      </c>
      <c r="J35" s="18">
        <f>Лаб7!R35</f>
        <v>0</v>
      </c>
      <c r="K35" s="18"/>
      <c r="L35" s="18"/>
      <c r="M35" s="18"/>
      <c r="N35" s="19">
        <f>Посещаемость!BJ35</f>
        <v>-3.8000000000000003</v>
      </c>
      <c r="O35" s="82">
        <f t="shared" ref="O35:O63" si="6">SUM(C35:M35)</f>
        <v>0</v>
      </c>
      <c r="P35" s="7">
        <f t="shared" ref="P35:P63" si="7">SUM(C35:N35)</f>
        <v>-3.8000000000000003</v>
      </c>
      <c r="Q35" s="7"/>
      <c r="R35" s="63">
        <f>Посещаемость!BG35</f>
        <v>23</v>
      </c>
      <c r="S35" s="81">
        <f t="shared" ref="S35:U63" si="8">$O35/S$66</f>
        <v>0</v>
      </c>
      <c r="T35" s="81">
        <f t="shared" si="8"/>
        <v>0</v>
      </c>
      <c r="U35" s="81">
        <f t="shared" si="8"/>
        <v>0</v>
      </c>
      <c r="V35" s="40">
        <f>Посещаемость!BI35</f>
        <v>0.28125</v>
      </c>
      <c r="W35" s="40">
        <f t="shared" ref="W35:W63" si="9">O35/$D$71</f>
        <v>0</v>
      </c>
      <c r="X35" s="64">
        <f t="shared" ref="X35:X63" si="10">MAX(0,W35*0.8+0.2*V35)</f>
        <v>5.6250000000000001E-2</v>
      </c>
      <c r="Y35" s="17" t="str">
        <f t="shared" ref="Y35:Y63" si="11">GetMark($D$71,$D$70,$D$69,P35)</f>
        <v>Неудовлетворительно</v>
      </c>
    </row>
    <row r="36" spans="1:25" x14ac:dyDescent="0.25">
      <c r="A36" s="67">
        <v>3</v>
      </c>
      <c r="B36" s="2" t="s">
        <v>424</v>
      </c>
      <c r="C36" s="16">
        <f>Лаб0!N36</f>
        <v>0</v>
      </c>
      <c r="D36" s="16">
        <f>Лаб1!AC36</f>
        <v>0</v>
      </c>
      <c r="E36" s="16">
        <f>Лаб2!AB36</f>
        <v>0</v>
      </c>
      <c r="F36" s="18">
        <f>Лаб3!Q36</f>
        <v>0</v>
      </c>
      <c r="G36" s="18">
        <f>Лаб4!K36</f>
        <v>0</v>
      </c>
      <c r="H36" s="18">
        <f>Лаб5!U36</f>
        <v>0</v>
      </c>
      <c r="I36" s="18">
        <f>Лаб6!Q36</f>
        <v>0</v>
      </c>
      <c r="J36" s="18">
        <f>Лаб7!R36</f>
        <v>0</v>
      </c>
      <c r="K36" s="18"/>
      <c r="L36" s="18"/>
      <c r="M36" s="18"/>
      <c r="N36" s="19">
        <f>Посещаемость!BJ36</f>
        <v>-1.8</v>
      </c>
      <c r="O36" s="82">
        <f t="shared" si="6"/>
        <v>0</v>
      </c>
      <c r="P36" s="7">
        <f t="shared" si="7"/>
        <v>-1.8</v>
      </c>
      <c r="Q36" s="7"/>
      <c r="R36" s="63">
        <f>Посещаемость!BG36</f>
        <v>15</v>
      </c>
      <c r="S36" s="81">
        <f t="shared" si="8"/>
        <v>0</v>
      </c>
      <c r="T36" s="81">
        <f t="shared" si="8"/>
        <v>0</v>
      </c>
      <c r="U36" s="81">
        <f t="shared" si="8"/>
        <v>0</v>
      </c>
      <c r="V36" s="40">
        <f>Посещаемость!BI36</f>
        <v>0.53125</v>
      </c>
      <c r="W36" s="40">
        <f t="shared" si="9"/>
        <v>0</v>
      </c>
      <c r="X36" s="64">
        <f t="shared" si="10"/>
        <v>0.10625000000000001</v>
      </c>
      <c r="Y36" s="17" t="str">
        <f t="shared" si="11"/>
        <v>Неудовлетворительно</v>
      </c>
    </row>
    <row r="37" spans="1:25" x14ac:dyDescent="0.25">
      <c r="A37" s="67">
        <v>4</v>
      </c>
      <c r="B37" s="2" t="s">
        <v>425</v>
      </c>
      <c r="C37" s="16">
        <f>Лаб0!N37</f>
        <v>0</v>
      </c>
      <c r="D37" s="16">
        <f>Лаб1!AC37</f>
        <v>0</v>
      </c>
      <c r="E37" s="16">
        <f>Лаб2!AB37</f>
        <v>0</v>
      </c>
      <c r="F37" s="18">
        <f>Лаб3!Q37</f>
        <v>0</v>
      </c>
      <c r="G37" s="18">
        <f>Лаб4!K37</f>
        <v>0</v>
      </c>
      <c r="H37" s="18">
        <f>Лаб5!U37</f>
        <v>0</v>
      </c>
      <c r="I37" s="18">
        <f>Лаб6!Q37</f>
        <v>0</v>
      </c>
      <c r="J37" s="18">
        <f>Лаб7!R37</f>
        <v>0</v>
      </c>
      <c r="K37" s="18"/>
      <c r="L37" s="18"/>
      <c r="M37" s="18"/>
      <c r="N37" s="19">
        <f>Посещаемость!BJ37</f>
        <v>-2.1</v>
      </c>
      <c r="O37" s="82">
        <f t="shared" si="6"/>
        <v>0</v>
      </c>
      <c r="P37" s="7">
        <f t="shared" si="7"/>
        <v>-2.1</v>
      </c>
      <c r="Q37" s="7"/>
      <c r="R37" s="63">
        <f>Посещаемость!BG37</f>
        <v>16</v>
      </c>
      <c r="S37" s="81">
        <f t="shared" si="8"/>
        <v>0</v>
      </c>
      <c r="T37" s="81">
        <f t="shared" si="8"/>
        <v>0</v>
      </c>
      <c r="U37" s="81">
        <f t="shared" si="8"/>
        <v>0</v>
      </c>
      <c r="V37" s="40">
        <f>Посещаемость!BI37</f>
        <v>0.5</v>
      </c>
      <c r="W37" s="40">
        <f t="shared" si="9"/>
        <v>0</v>
      </c>
      <c r="X37" s="64">
        <f t="shared" si="10"/>
        <v>0.1</v>
      </c>
      <c r="Y37" s="17" t="str">
        <f t="shared" si="11"/>
        <v>Неудовлетворительно</v>
      </c>
    </row>
    <row r="38" spans="1:25" x14ac:dyDescent="0.25">
      <c r="A38" s="67">
        <v>5</v>
      </c>
      <c r="B38" s="2" t="s">
        <v>426</v>
      </c>
      <c r="C38" s="16">
        <f>Лаб0!N38</f>
        <v>0</v>
      </c>
      <c r="D38" s="16">
        <f>Лаб1!AC38</f>
        <v>5.4</v>
      </c>
      <c r="E38" s="16">
        <f>Лаб2!AB38</f>
        <v>0</v>
      </c>
      <c r="F38" s="18">
        <f>Лаб3!Q38</f>
        <v>0</v>
      </c>
      <c r="G38" s="18">
        <f>Лаб4!K38</f>
        <v>0</v>
      </c>
      <c r="H38" s="18">
        <f>Лаб5!U38</f>
        <v>0</v>
      </c>
      <c r="I38" s="18">
        <f>Лаб6!Q38</f>
        <v>0</v>
      </c>
      <c r="J38" s="18">
        <f>Лаб7!R38</f>
        <v>0</v>
      </c>
      <c r="K38" s="18"/>
      <c r="L38" s="18"/>
      <c r="M38" s="18"/>
      <c r="N38" s="19">
        <f>Посещаемость!BJ38</f>
        <v>1.8</v>
      </c>
      <c r="O38" s="82">
        <f t="shared" si="6"/>
        <v>5.4</v>
      </c>
      <c r="P38" s="7">
        <f t="shared" si="7"/>
        <v>7.2</v>
      </c>
      <c r="Q38" s="7"/>
      <c r="R38" s="63">
        <f>Посещаемость!BG38</f>
        <v>0</v>
      </c>
      <c r="S38" s="81">
        <f t="shared" si="8"/>
        <v>0.45</v>
      </c>
      <c r="T38" s="81">
        <f t="shared" si="8"/>
        <v>0.23478260869565218</v>
      </c>
      <c r="U38" s="81">
        <f t="shared" si="8"/>
        <v>9.0000000000000011E-2</v>
      </c>
      <c r="V38" s="40">
        <f>Посещаемость!BI38</f>
        <v>1</v>
      </c>
      <c r="W38" s="40">
        <f t="shared" si="9"/>
        <v>9.0000000000000011E-2</v>
      </c>
      <c r="X38" s="64">
        <f t="shared" si="10"/>
        <v>0.27200000000000002</v>
      </c>
      <c r="Y38" s="17" t="str">
        <f t="shared" si="11"/>
        <v>Неудовлетворительно</v>
      </c>
    </row>
    <row r="39" spans="1:25" x14ac:dyDescent="0.25">
      <c r="A39" s="67">
        <v>6</v>
      </c>
      <c r="B39" s="2" t="s">
        <v>427</v>
      </c>
      <c r="C39" s="16">
        <f>Лаб0!N39</f>
        <v>0</v>
      </c>
      <c r="D39" s="16">
        <f>Лаб1!AC39</f>
        <v>6.0473684210526315</v>
      </c>
      <c r="E39" s="16">
        <f>Лаб2!AB39</f>
        <v>6.4725000000000001</v>
      </c>
      <c r="F39" s="18">
        <f>Лаб3!Q39</f>
        <v>5.17</v>
      </c>
      <c r="G39" s="18">
        <f>Лаб4!K39</f>
        <v>3.024</v>
      </c>
      <c r="H39" s="18">
        <f>Лаб5!U39</f>
        <v>5.0070588235294116</v>
      </c>
      <c r="I39" s="18">
        <f>Лаб6!Q39</f>
        <v>5.0250000000000004</v>
      </c>
      <c r="J39" s="18">
        <f>Лаб7!R39</f>
        <v>0</v>
      </c>
      <c r="K39" s="18"/>
      <c r="L39" s="18"/>
      <c r="M39" s="18"/>
      <c r="N39" s="19">
        <f>Посещаемость!BJ39</f>
        <v>-0.5</v>
      </c>
      <c r="O39" s="82">
        <f t="shared" si="6"/>
        <v>30.745927244582042</v>
      </c>
      <c r="P39" s="7">
        <f t="shared" si="7"/>
        <v>30.245927244582042</v>
      </c>
      <c r="Q39" s="7"/>
      <c r="R39" s="63">
        <f>Посещаемость!BG39</f>
        <v>11</v>
      </c>
      <c r="S39" s="81">
        <f t="shared" si="8"/>
        <v>2.5621606037151703</v>
      </c>
      <c r="T39" s="81">
        <f t="shared" si="8"/>
        <v>1.3367794454166104</v>
      </c>
      <c r="U39" s="81">
        <f t="shared" si="8"/>
        <v>0.51243212074303401</v>
      </c>
      <c r="V39" s="40">
        <f>Посещаемость!BI39</f>
        <v>0.65625</v>
      </c>
      <c r="W39" s="40">
        <f t="shared" si="9"/>
        <v>0.51243212074303401</v>
      </c>
      <c r="X39" s="64">
        <f t="shared" si="10"/>
        <v>0.54119569659442723</v>
      </c>
      <c r="Y39" s="17" t="str">
        <f t="shared" si="11"/>
        <v>Неудовлетворительно</v>
      </c>
    </row>
    <row r="40" spans="1:25" x14ac:dyDescent="0.25">
      <c r="A40" s="67">
        <v>7</v>
      </c>
      <c r="B40" s="2" t="s">
        <v>428</v>
      </c>
      <c r="C40" s="16">
        <f>Лаб0!N40</f>
        <v>0</v>
      </c>
      <c r="D40" s="16">
        <f>Лаб1!AC40</f>
        <v>6.0789473684210522</v>
      </c>
      <c r="E40" s="16">
        <f>Лаб2!AB40</f>
        <v>0</v>
      </c>
      <c r="F40" s="18">
        <f>Лаб3!Q40</f>
        <v>0</v>
      </c>
      <c r="G40" s="18">
        <f>Лаб4!K40</f>
        <v>0</v>
      </c>
      <c r="H40" s="18">
        <f>Лаб5!U40</f>
        <v>0</v>
      </c>
      <c r="I40" s="18">
        <f>Лаб6!Q40</f>
        <v>6.3214285714285712</v>
      </c>
      <c r="J40" s="18">
        <f>Лаб7!R40</f>
        <v>0</v>
      </c>
      <c r="K40" s="18"/>
      <c r="L40" s="18"/>
      <c r="M40" s="18"/>
      <c r="N40" s="19">
        <f>Посещаемость!BJ40</f>
        <v>-0.1</v>
      </c>
      <c r="O40" s="82">
        <f t="shared" si="6"/>
        <v>12.400375939849624</v>
      </c>
      <c r="P40" s="7">
        <f t="shared" si="7"/>
        <v>12.300375939849625</v>
      </c>
      <c r="Q40" s="7"/>
      <c r="R40" s="63">
        <f>Посещаемость!BG40</f>
        <v>9</v>
      </c>
      <c r="S40" s="81">
        <f t="shared" si="8"/>
        <v>1.0333646616541354</v>
      </c>
      <c r="T40" s="81">
        <f t="shared" si="8"/>
        <v>0.53914677999346194</v>
      </c>
      <c r="U40" s="81">
        <f t="shared" si="8"/>
        <v>0.20667293233082706</v>
      </c>
      <c r="V40" s="40">
        <f>Посещаемость!BI40</f>
        <v>0.71875</v>
      </c>
      <c r="W40" s="40">
        <f t="shared" si="9"/>
        <v>0.20667293233082706</v>
      </c>
      <c r="X40" s="64">
        <f t="shared" si="10"/>
        <v>0.30908834586466172</v>
      </c>
      <c r="Y40" s="17" t="str">
        <f t="shared" si="11"/>
        <v>Неудовлетворительно</v>
      </c>
    </row>
    <row r="41" spans="1:25" x14ac:dyDescent="0.25">
      <c r="A41" s="67">
        <v>8</v>
      </c>
      <c r="B41" s="2" t="s">
        <v>429</v>
      </c>
      <c r="C41" s="16">
        <f>Лаб0!N41</f>
        <v>0</v>
      </c>
      <c r="D41" s="16">
        <f>Лаб1!AC41</f>
        <v>0</v>
      </c>
      <c r="E41" s="16">
        <f>Лаб2!AB41</f>
        <v>0</v>
      </c>
      <c r="F41" s="18">
        <f>Лаб3!Q41</f>
        <v>0</v>
      </c>
      <c r="G41" s="18">
        <f>Лаб4!K41</f>
        <v>0</v>
      </c>
      <c r="H41" s="18">
        <f>Лаб5!U41</f>
        <v>0</v>
      </c>
      <c r="I41" s="18">
        <f>Лаб6!Q41</f>
        <v>0</v>
      </c>
      <c r="J41" s="18">
        <f>Лаб7!R41</f>
        <v>0</v>
      </c>
      <c r="K41" s="18"/>
      <c r="L41" s="18"/>
      <c r="M41" s="18"/>
      <c r="N41" s="19">
        <f>Посещаемость!BJ41</f>
        <v>-1.6</v>
      </c>
      <c r="O41" s="82">
        <f t="shared" si="6"/>
        <v>0</v>
      </c>
      <c r="P41" s="7">
        <f t="shared" si="7"/>
        <v>-1.6</v>
      </c>
      <c r="Q41" s="7"/>
      <c r="R41" s="63">
        <f>Посещаемость!BG41</f>
        <v>14</v>
      </c>
      <c r="S41" s="81">
        <f t="shared" si="8"/>
        <v>0</v>
      </c>
      <c r="T41" s="81">
        <f t="shared" si="8"/>
        <v>0</v>
      </c>
      <c r="U41" s="81">
        <f t="shared" si="8"/>
        <v>0</v>
      </c>
      <c r="V41" s="40">
        <f>Посещаемость!BI41</f>
        <v>0.5625</v>
      </c>
      <c r="W41" s="40">
        <f t="shared" si="9"/>
        <v>0</v>
      </c>
      <c r="X41" s="64">
        <f t="shared" si="10"/>
        <v>0.1125</v>
      </c>
      <c r="Y41" s="17" t="str">
        <f t="shared" si="11"/>
        <v>Неудовлетворительно</v>
      </c>
    </row>
    <row r="42" spans="1:25" x14ac:dyDescent="0.25">
      <c r="A42" s="67">
        <v>9</v>
      </c>
      <c r="B42" s="2" t="s">
        <v>430</v>
      </c>
      <c r="C42" s="16">
        <f>Лаб0!N42</f>
        <v>0</v>
      </c>
      <c r="D42" s="16">
        <f>Лаб1!AC42</f>
        <v>0</v>
      </c>
      <c r="E42" s="16">
        <f>Лаб2!AB42</f>
        <v>0</v>
      </c>
      <c r="F42" s="18">
        <f>Лаб3!Q42</f>
        <v>0</v>
      </c>
      <c r="G42" s="18">
        <f>Лаб4!K42</f>
        <v>0</v>
      </c>
      <c r="H42" s="18">
        <f>Лаб5!U42</f>
        <v>0</v>
      </c>
      <c r="I42" s="18">
        <f>Лаб6!Q42</f>
        <v>0</v>
      </c>
      <c r="J42" s="18">
        <f>Лаб7!R42</f>
        <v>0</v>
      </c>
      <c r="K42" s="18"/>
      <c r="L42" s="18"/>
      <c r="M42" s="18"/>
      <c r="N42" s="19">
        <f>Посещаемость!BJ42</f>
        <v>-3.3000000000000003</v>
      </c>
      <c r="O42" s="82">
        <f t="shared" si="6"/>
        <v>0</v>
      </c>
      <c r="P42" s="7">
        <f t="shared" si="7"/>
        <v>-3.3000000000000003</v>
      </c>
      <c r="Q42" s="7"/>
      <c r="R42" s="63">
        <f>Посещаемость!BG42</f>
        <v>20</v>
      </c>
      <c r="S42" s="81">
        <f t="shared" si="8"/>
        <v>0</v>
      </c>
      <c r="T42" s="81">
        <f t="shared" si="8"/>
        <v>0</v>
      </c>
      <c r="U42" s="81">
        <f t="shared" si="8"/>
        <v>0</v>
      </c>
      <c r="V42" s="40">
        <f>Посещаемость!BI42</f>
        <v>0.375</v>
      </c>
      <c r="W42" s="40">
        <f t="shared" si="9"/>
        <v>0</v>
      </c>
      <c r="X42" s="64">
        <f t="shared" si="10"/>
        <v>7.5000000000000011E-2</v>
      </c>
      <c r="Y42" s="17" t="str">
        <f t="shared" si="11"/>
        <v>Неудовлетворительно</v>
      </c>
    </row>
    <row r="43" spans="1:25" x14ac:dyDescent="0.25">
      <c r="A43" s="67">
        <v>10</v>
      </c>
      <c r="B43" s="2" t="s">
        <v>431</v>
      </c>
      <c r="C43" s="16">
        <f>Лаб0!N43</f>
        <v>0</v>
      </c>
      <c r="D43" s="16">
        <f>Лаб1!AC43</f>
        <v>6.1228421052631576</v>
      </c>
      <c r="E43" s="16">
        <f>Лаб2!AB43</f>
        <v>6.0419999999999998</v>
      </c>
      <c r="F43" s="18">
        <f>Лаб3!Q43</f>
        <v>5.15</v>
      </c>
      <c r="G43" s="18">
        <f>Лаб4!K43</f>
        <v>4.8</v>
      </c>
      <c r="H43" s="18">
        <f>Лаб5!U43</f>
        <v>5.2647058823529411</v>
      </c>
      <c r="I43" s="18">
        <f>Лаб6!Q43</f>
        <v>5.7750000000000004</v>
      </c>
      <c r="J43" s="18">
        <f>Лаб7!R43</f>
        <v>6.0857142857142854</v>
      </c>
      <c r="K43" s="18"/>
      <c r="L43" s="18"/>
      <c r="M43" s="18">
        <v>20</v>
      </c>
      <c r="N43" s="19">
        <f>Посещаемость!BJ43</f>
        <v>2.6</v>
      </c>
      <c r="O43" s="82">
        <f t="shared" si="6"/>
        <v>59.240262273330387</v>
      </c>
      <c r="P43" s="7">
        <f t="shared" si="7"/>
        <v>61.840262273330389</v>
      </c>
      <c r="Q43" s="7"/>
      <c r="R43" s="63">
        <f>Посещаемость!BG43</f>
        <v>1</v>
      </c>
      <c r="S43" s="81">
        <f t="shared" si="8"/>
        <v>4.9366885227775326</v>
      </c>
      <c r="T43" s="81">
        <f t="shared" si="8"/>
        <v>2.575663577101321</v>
      </c>
      <c r="U43" s="81">
        <f t="shared" si="8"/>
        <v>0.9873377045555064</v>
      </c>
      <c r="V43" s="40">
        <f>Посещаемость!BI43</f>
        <v>0.96875</v>
      </c>
      <c r="W43" s="40">
        <f t="shared" si="9"/>
        <v>0.9873377045555064</v>
      </c>
      <c r="X43" s="64">
        <f t="shared" si="10"/>
        <v>0.98362016364440519</v>
      </c>
      <c r="Y43" s="17" t="str">
        <f t="shared" si="11"/>
        <v>Удовлетворительно</v>
      </c>
    </row>
    <row r="44" spans="1:25" x14ac:dyDescent="0.25">
      <c r="A44" s="67">
        <v>11</v>
      </c>
      <c r="B44" s="2" t="s">
        <v>432</v>
      </c>
      <c r="C44" s="16">
        <f>Лаб0!N44</f>
        <v>0</v>
      </c>
      <c r="D44" s="16">
        <f>Лаб1!AC44</f>
        <v>0</v>
      </c>
      <c r="E44" s="16">
        <f>Лаб2!AB44</f>
        <v>0</v>
      </c>
      <c r="F44" s="18">
        <f>Лаб3!Q44</f>
        <v>0</v>
      </c>
      <c r="G44" s="18">
        <f>Лаб4!K44</f>
        <v>0</v>
      </c>
      <c r="H44" s="18">
        <f>Лаб5!U44</f>
        <v>0</v>
      </c>
      <c r="I44" s="18">
        <f>Лаб6!Q44</f>
        <v>0</v>
      </c>
      <c r="J44" s="18">
        <f>Лаб7!R44</f>
        <v>0</v>
      </c>
      <c r="K44" s="18"/>
      <c r="L44" s="18"/>
      <c r="M44" s="18"/>
      <c r="N44" s="19">
        <f>Посещаемость!BJ44</f>
        <v>-5.3000000000000007</v>
      </c>
      <c r="O44" s="82">
        <f t="shared" si="6"/>
        <v>0</v>
      </c>
      <c r="P44" s="7">
        <f t="shared" si="7"/>
        <v>-5.3000000000000007</v>
      </c>
      <c r="Q44" s="7"/>
      <c r="R44" s="63">
        <f>Посещаемость!BG44</f>
        <v>28</v>
      </c>
      <c r="S44" s="81">
        <f t="shared" si="8"/>
        <v>0</v>
      </c>
      <c r="T44" s="81">
        <f t="shared" si="8"/>
        <v>0</v>
      </c>
      <c r="U44" s="81">
        <f t="shared" si="8"/>
        <v>0</v>
      </c>
      <c r="V44" s="40">
        <f>Посещаемость!BI44</f>
        <v>0.125</v>
      </c>
      <c r="W44" s="40">
        <f t="shared" si="9"/>
        <v>0</v>
      </c>
      <c r="X44" s="64">
        <f t="shared" si="10"/>
        <v>2.5000000000000001E-2</v>
      </c>
      <c r="Y44" s="17" t="str">
        <f t="shared" si="11"/>
        <v>Неудовлетворительно</v>
      </c>
    </row>
    <row r="45" spans="1:25" x14ac:dyDescent="0.25">
      <c r="A45" s="67">
        <v>12</v>
      </c>
      <c r="B45" s="2" t="s">
        <v>433</v>
      </c>
      <c r="C45" s="16">
        <f>Лаб0!N45</f>
        <v>0</v>
      </c>
      <c r="D45" s="16">
        <f>Лаб1!AC45</f>
        <v>0</v>
      </c>
      <c r="E45" s="16">
        <f>Лаб2!AB45</f>
        <v>0</v>
      </c>
      <c r="F45" s="18">
        <f>Лаб3!Q45</f>
        <v>0</v>
      </c>
      <c r="G45" s="18">
        <f>Лаб4!K45</f>
        <v>0</v>
      </c>
      <c r="H45" s="18">
        <f>Лаб5!U45</f>
        <v>0</v>
      </c>
      <c r="I45" s="18">
        <f>Лаб6!Q45</f>
        <v>0</v>
      </c>
      <c r="J45" s="18">
        <f>Лаб7!R45</f>
        <v>0</v>
      </c>
      <c r="K45" s="18"/>
      <c r="L45" s="18"/>
      <c r="M45" s="18"/>
      <c r="N45" s="19">
        <f>Посещаемость!BJ45</f>
        <v>-5.3000000000000007</v>
      </c>
      <c r="O45" s="82">
        <f t="shared" si="6"/>
        <v>0</v>
      </c>
      <c r="P45" s="7">
        <f t="shared" si="7"/>
        <v>-5.3000000000000007</v>
      </c>
      <c r="Q45" s="7"/>
      <c r="R45" s="63">
        <f>Посещаемость!BG45</f>
        <v>28</v>
      </c>
      <c r="S45" s="81">
        <f t="shared" si="8"/>
        <v>0</v>
      </c>
      <c r="T45" s="81">
        <f t="shared" si="8"/>
        <v>0</v>
      </c>
      <c r="U45" s="81">
        <f t="shared" si="8"/>
        <v>0</v>
      </c>
      <c r="V45" s="40">
        <f>Посещаемость!BI45</f>
        <v>0.125</v>
      </c>
      <c r="W45" s="40">
        <f t="shared" si="9"/>
        <v>0</v>
      </c>
      <c r="X45" s="64">
        <f t="shared" si="10"/>
        <v>2.5000000000000001E-2</v>
      </c>
      <c r="Y45" s="17" t="str">
        <f t="shared" si="11"/>
        <v>Неудовлетворительно</v>
      </c>
    </row>
    <row r="46" spans="1:25" x14ac:dyDescent="0.25">
      <c r="A46" s="67">
        <v>13</v>
      </c>
      <c r="B46" s="2" t="s">
        <v>434</v>
      </c>
      <c r="C46" s="16">
        <f>Лаб0!N46</f>
        <v>0</v>
      </c>
      <c r="D46" s="16">
        <f>Лаб1!AC46</f>
        <v>0</v>
      </c>
      <c r="E46" s="16">
        <f>Лаб2!AB46</f>
        <v>0</v>
      </c>
      <c r="F46" s="18">
        <f>Лаб3!Q46</f>
        <v>0</v>
      </c>
      <c r="G46" s="18">
        <f>Лаб4!K46</f>
        <v>0</v>
      </c>
      <c r="H46" s="18">
        <f>Лаб5!U46</f>
        <v>0</v>
      </c>
      <c r="I46" s="18">
        <f>Лаб6!Q46</f>
        <v>0</v>
      </c>
      <c r="J46" s="18">
        <f>Лаб7!R46</f>
        <v>0</v>
      </c>
      <c r="K46" s="18"/>
      <c r="L46" s="18"/>
      <c r="M46" s="18"/>
      <c r="N46" s="19">
        <f>Посещаемость!BJ46</f>
        <v>-2.3000000000000003</v>
      </c>
      <c r="O46" s="82">
        <f t="shared" si="6"/>
        <v>0</v>
      </c>
      <c r="P46" s="7">
        <f t="shared" si="7"/>
        <v>-2.3000000000000003</v>
      </c>
      <c r="Q46" s="7"/>
      <c r="R46" s="63">
        <f>Посещаемость!BG46</f>
        <v>17</v>
      </c>
      <c r="S46" s="81">
        <f t="shared" si="8"/>
        <v>0</v>
      </c>
      <c r="T46" s="81">
        <f t="shared" si="8"/>
        <v>0</v>
      </c>
      <c r="U46" s="81">
        <f t="shared" si="8"/>
        <v>0</v>
      </c>
      <c r="V46" s="40">
        <f>Посещаемость!BI46</f>
        <v>0.46875</v>
      </c>
      <c r="W46" s="40">
        <f t="shared" si="9"/>
        <v>0</v>
      </c>
      <c r="X46" s="64">
        <f t="shared" si="10"/>
        <v>9.375E-2</v>
      </c>
      <c r="Y46" s="17" t="str">
        <f t="shared" si="11"/>
        <v>Неудовлетворительно</v>
      </c>
    </row>
    <row r="47" spans="1:25" x14ac:dyDescent="0.25">
      <c r="A47" s="67">
        <v>14</v>
      </c>
      <c r="B47" s="2" t="s">
        <v>435</v>
      </c>
      <c r="C47" s="16">
        <f>Лаб0!N47</f>
        <v>0</v>
      </c>
      <c r="D47" s="16">
        <f>Лаб1!AC47</f>
        <v>0</v>
      </c>
      <c r="E47" s="16">
        <f>Лаб2!AB47</f>
        <v>0</v>
      </c>
      <c r="F47" s="18">
        <f>Лаб3!Q47</f>
        <v>0</v>
      </c>
      <c r="G47" s="18">
        <f>Лаб4!K47</f>
        <v>0</v>
      </c>
      <c r="H47" s="18">
        <f>Лаб5!U47</f>
        <v>0</v>
      </c>
      <c r="I47" s="18">
        <f>Лаб6!Q47</f>
        <v>0</v>
      </c>
      <c r="J47" s="18">
        <f>Лаб7!R47</f>
        <v>0</v>
      </c>
      <c r="K47" s="18"/>
      <c r="L47" s="18"/>
      <c r="M47" s="18"/>
      <c r="N47" s="19">
        <f>Посещаемость!BJ47</f>
        <v>-6.4</v>
      </c>
      <c r="O47" s="82">
        <f t="shared" si="6"/>
        <v>0</v>
      </c>
      <c r="P47" s="7">
        <f t="shared" si="7"/>
        <v>-6.4</v>
      </c>
      <c r="Q47" s="7"/>
      <c r="R47" s="63">
        <f>Посещаемость!BG47</f>
        <v>32</v>
      </c>
      <c r="S47" s="81">
        <f t="shared" si="8"/>
        <v>0</v>
      </c>
      <c r="T47" s="81">
        <f t="shared" si="8"/>
        <v>0</v>
      </c>
      <c r="U47" s="81">
        <f t="shared" si="8"/>
        <v>0</v>
      </c>
      <c r="V47" s="40">
        <f>Посещаемость!BI47</f>
        <v>0</v>
      </c>
      <c r="W47" s="40">
        <f t="shared" si="9"/>
        <v>0</v>
      </c>
      <c r="X47" s="64">
        <f t="shared" si="10"/>
        <v>0</v>
      </c>
      <c r="Y47" s="17" t="str">
        <f t="shared" si="11"/>
        <v>Неудовлетворительно</v>
      </c>
    </row>
    <row r="48" spans="1:25" x14ac:dyDescent="0.25">
      <c r="A48" s="67">
        <v>15</v>
      </c>
      <c r="B48" s="2" t="s">
        <v>436</v>
      </c>
      <c r="C48" s="16">
        <f>Лаб0!N48</f>
        <v>0</v>
      </c>
      <c r="D48" s="16">
        <f>Лаб1!AC48</f>
        <v>6.9505263157894737</v>
      </c>
      <c r="E48" s="16">
        <f>Лаб2!AB48</f>
        <v>6.0149999999999997</v>
      </c>
      <c r="F48" s="18">
        <f>Лаб3!Q48</f>
        <v>5.05</v>
      </c>
      <c r="G48" s="18">
        <f>Лаб4!K48</f>
        <v>5.04</v>
      </c>
      <c r="H48" s="18">
        <f>Лаб5!U48</f>
        <v>5.1764705882352944</v>
      </c>
      <c r="I48" s="18">
        <f>Лаб6!Q48</f>
        <v>6.7821428571428575</v>
      </c>
      <c r="J48" s="18">
        <f>Лаб7!R48</f>
        <v>3.78</v>
      </c>
      <c r="K48" s="18"/>
      <c r="L48" s="18"/>
      <c r="M48" s="18">
        <v>20</v>
      </c>
      <c r="N48" s="19">
        <f>Посещаемость!BJ48</f>
        <v>1.4000000000000001</v>
      </c>
      <c r="O48" s="82">
        <f t="shared" si="6"/>
        <v>58.794139761167621</v>
      </c>
      <c r="P48" s="7">
        <f t="shared" si="7"/>
        <v>60.194139761167619</v>
      </c>
      <c r="Q48" s="7"/>
      <c r="R48" s="63">
        <f>Посещаемость!BG48</f>
        <v>3</v>
      </c>
      <c r="S48" s="81">
        <f t="shared" si="8"/>
        <v>4.8995116467639681</v>
      </c>
      <c r="T48" s="81">
        <f t="shared" si="8"/>
        <v>2.5562669461377228</v>
      </c>
      <c r="U48" s="81">
        <f t="shared" si="8"/>
        <v>0.97990232935279364</v>
      </c>
      <c r="V48" s="40">
        <f>Посещаемость!BI48</f>
        <v>0.90625</v>
      </c>
      <c r="W48" s="40">
        <f t="shared" si="9"/>
        <v>0.97990232935279364</v>
      </c>
      <c r="X48" s="64">
        <f t="shared" si="10"/>
        <v>0.96517186348223494</v>
      </c>
      <c r="Y48" s="17" t="str">
        <f t="shared" si="11"/>
        <v>Удовлетворительно</v>
      </c>
    </row>
    <row r="49" spans="1:25" x14ac:dyDescent="0.25">
      <c r="A49" s="67">
        <v>16</v>
      </c>
      <c r="B49" s="2" t="s">
        <v>437</v>
      </c>
      <c r="C49" s="16">
        <f>Лаб0!N49</f>
        <v>0</v>
      </c>
      <c r="D49" s="16">
        <f>Лаб1!AC49</f>
        <v>0</v>
      </c>
      <c r="E49" s="16">
        <f>Лаб2!AB49</f>
        <v>0</v>
      </c>
      <c r="F49" s="18">
        <f>Лаб3!Q49</f>
        <v>0</v>
      </c>
      <c r="G49" s="18">
        <f>Лаб4!K49</f>
        <v>0</v>
      </c>
      <c r="H49" s="18">
        <f>Лаб5!U49</f>
        <v>0</v>
      </c>
      <c r="I49" s="18">
        <f>Лаб6!Q49</f>
        <v>0</v>
      </c>
      <c r="J49" s="18">
        <f>Лаб7!R49</f>
        <v>0</v>
      </c>
      <c r="K49" s="18"/>
      <c r="L49" s="18"/>
      <c r="M49" s="18"/>
      <c r="N49" s="19">
        <f>Посещаемость!BJ49</f>
        <v>-6.1000000000000005</v>
      </c>
      <c r="O49" s="82">
        <f t="shared" si="6"/>
        <v>0</v>
      </c>
      <c r="P49" s="7">
        <f t="shared" si="7"/>
        <v>-6.1000000000000005</v>
      </c>
      <c r="Q49" s="7"/>
      <c r="R49" s="63">
        <f>Посещаемость!BG49</f>
        <v>31</v>
      </c>
      <c r="S49" s="81">
        <f t="shared" si="8"/>
        <v>0</v>
      </c>
      <c r="T49" s="81">
        <f t="shared" si="8"/>
        <v>0</v>
      </c>
      <c r="U49" s="81">
        <f t="shared" si="8"/>
        <v>0</v>
      </c>
      <c r="V49" s="40">
        <f>Посещаемость!BI49</f>
        <v>3.125E-2</v>
      </c>
      <c r="W49" s="40">
        <f t="shared" si="9"/>
        <v>0</v>
      </c>
      <c r="X49" s="64">
        <f t="shared" si="10"/>
        <v>6.2500000000000003E-3</v>
      </c>
      <c r="Y49" s="17" t="str">
        <f t="shared" si="11"/>
        <v>Неудовлетворительно</v>
      </c>
    </row>
    <row r="50" spans="1:25" x14ac:dyDescent="0.25">
      <c r="A50" s="67">
        <v>17</v>
      </c>
      <c r="B50" s="2" t="s">
        <v>438</v>
      </c>
      <c r="C50" s="16">
        <f>Лаб0!N50</f>
        <v>0</v>
      </c>
      <c r="D50" s="16">
        <f>Лаб1!AC50</f>
        <v>6.7105263157894735</v>
      </c>
      <c r="E50" s="16">
        <f>Лаб2!AB50</f>
        <v>6.0510000000000002</v>
      </c>
      <c r="F50" s="18">
        <f>Лаб3!Q50</f>
        <v>5.17</v>
      </c>
      <c r="G50" s="18">
        <f>Лаб4!K50</f>
        <v>4.5</v>
      </c>
      <c r="H50" s="18">
        <f>Лаб5!U50</f>
        <v>5.2611764705882358</v>
      </c>
      <c r="I50" s="18">
        <f>Лаб6!Q50</f>
        <v>4.5</v>
      </c>
      <c r="J50" s="18">
        <f>Лаб7!R50</f>
        <v>1.98</v>
      </c>
      <c r="K50" s="18"/>
      <c r="L50" s="18"/>
      <c r="M50" s="18"/>
      <c r="N50" s="19">
        <f>Посещаемость!BJ50</f>
        <v>0.2</v>
      </c>
      <c r="O50" s="82">
        <f t="shared" si="6"/>
        <v>34.172702786377705</v>
      </c>
      <c r="P50" s="7">
        <f t="shared" si="7"/>
        <v>34.372702786377708</v>
      </c>
      <c r="Q50" s="7"/>
      <c r="R50" s="63">
        <f>Посещаемость!BG50</f>
        <v>8</v>
      </c>
      <c r="S50" s="81">
        <f t="shared" si="8"/>
        <v>2.8477252321981421</v>
      </c>
      <c r="T50" s="81">
        <f t="shared" si="8"/>
        <v>1.485769686364248</v>
      </c>
      <c r="U50" s="81">
        <f t="shared" si="8"/>
        <v>0.56954504643962844</v>
      </c>
      <c r="V50" s="40">
        <f>Посещаемость!BI50</f>
        <v>0.75</v>
      </c>
      <c r="W50" s="40">
        <f t="shared" si="9"/>
        <v>0.56954504643962844</v>
      </c>
      <c r="X50" s="64">
        <f t="shared" si="10"/>
        <v>0.60563603715170278</v>
      </c>
      <c r="Y50" s="17" t="str">
        <f t="shared" si="11"/>
        <v>Неудовлетворительно</v>
      </c>
    </row>
    <row r="51" spans="1:25" x14ac:dyDescent="0.25">
      <c r="A51" s="67">
        <v>18</v>
      </c>
      <c r="B51" s="2" t="s">
        <v>439</v>
      </c>
      <c r="C51" s="16">
        <f>Лаб0!N51</f>
        <v>0</v>
      </c>
      <c r="D51" s="16">
        <f>Лаб1!AC51</f>
        <v>1.6799999999999997</v>
      </c>
      <c r="E51" s="16">
        <f>Лаб2!AB51</f>
        <v>0</v>
      </c>
      <c r="F51" s="18">
        <f>Лаб3!Q51</f>
        <v>0</v>
      </c>
      <c r="G51" s="18">
        <f>Лаб4!K51</f>
        <v>0</v>
      </c>
      <c r="H51" s="18">
        <f>Лаб5!U51</f>
        <v>0</v>
      </c>
      <c r="I51" s="18">
        <f>Лаб6!Q51</f>
        <v>0</v>
      </c>
      <c r="J51" s="18">
        <f>Лаб7!R51</f>
        <v>0</v>
      </c>
      <c r="K51" s="18"/>
      <c r="L51" s="18"/>
      <c r="M51" s="18"/>
      <c r="N51" s="19">
        <f>Посещаемость!BJ51</f>
        <v>-0.70000000000000007</v>
      </c>
      <c r="O51" s="82">
        <f t="shared" si="6"/>
        <v>1.6799999999999997</v>
      </c>
      <c r="P51" s="7">
        <f t="shared" si="7"/>
        <v>0.97999999999999965</v>
      </c>
      <c r="Q51" s="7"/>
      <c r="R51" s="63">
        <f>Посещаемость!BG51</f>
        <v>10</v>
      </c>
      <c r="S51" s="81">
        <f t="shared" si="8"/>
        <v>0.13999999999999999</v>
      </c>
      <c r="T51" s="81">
        <f t="shared" si="8"/>
        <v>7.3043478260869557E-2</v>
      </c>
      <c r="U51" s="81">
        <f t="shared" si="8"/>
        <v>2.7999999999999994E-2</v>
      </c>
      <c r="V51" s="40">
        <f>Посещаемость!BI51</f>
        <v>0.6875</v>
      </c>
      <c r="W51" s="40">
        <f t="shared" si="9"/>
        <v>2.7999999999999994E-2</v>
      </c>
      <c r="X51" s="64">
        <f t="shared" si="10"/>
        <v>0.15990000000000001</v>
      </c>
      <c r="Y51" s="17" t="str">
        <f t="shared" si="11"/>
        <v>Неудовлетворительно</v>
      </c>
    </row>
    <row r="52" spans="1:25" x14ac:dyDescent="0.25">
      <c r="A52" s="67">
        <v>19</v>
      </c>
      <c r="B52" s="2" t="s">
        <v>440</v>
      </c>
      <c r="C52" s="16">
        <f>Лаб0!N52</f>
        <v>0</v>
      </c>
      <c r="D52" s="16">
        <f>Лаб1!AC52</f>
        <v>0</v>
      </c>
      <c r="E52" s="16">
        <f>Лаб2!AB52</f>
        <v>0</v>
      </c>
      <c r="F52" s="18">
        <f>Лаб3!Q52</f>
        <v>0</v>
      </c>
      <c r="G52" s="18">
        <f>Лаб4!K52</f>
        <v>0</v>
      </c>
      <c r="H52" s="18">
        <f>Лаб5!U52</f>
        <v>0</v>
      </c>
      <c r="I52" s="18">
        <f>Лаб6!Q52</f>
        <v>0</v>
      </c>
      <c r="J52" s="18">
        <f>Лаб7!R52</f>
        <v>0</v>
      </c>
      <c r="K52" s="18"/>
      <c r="L52" s="18"/>
      <c r="M52" s="18"/>
      <c r="N52" s="19">
        <f>Посещаемость!BJ52</f>
        <v>-2.4000000000000004</v>
      </c>
      <c r="O52" s="82">
        <f t="shared" si="6"/>
        <v>0</v>
      </c>
      <c r="P52" s="7">
        <f t="shared" si="7"/>
        <v>-2.4000000000000004</v>
      </c>
      <c r="Q52" s="7"/>
      <c r="R52" s="63">
        <f>Посещаемость!BG52</f>
        <v>16</v>
      </c>
      <c r="S52" s="81">
        <f t="shared" si="8"/>
        <v>0</v>
      </c>
      <c r="T52" s="81">
        <f t="shared" si="8"/>
        <v>0</v>
      </c>
      <c r="U52" s="81">
        <f t="shared" si="8"/>
        <v>0</v>
      </c>
      <c r="V52" s="40">
        <f>Посещаемость!BI52</f>
        <v>0.5</v>
      </c>
      <c r="W52" s="40">
        <f t="shared" si="9"/>
        <v>0</v>
      </c>
      <c r="X52" s="64">
        <f t="shared" si="10"/>
        <v>0.1</v>
      </c>
      <c r="Y52" s="17" t="str">
        <f t="shared" si="11"/>
        <v>Неудовлетворительно</v>
      </c>
    </row>
    <row r="53" spans="1:25" x14ac:dyDescent="0.25">
      <c r="A53" s="67">
        <v>20</v>
      </c>
      <c r="B53" s="2" t="s">
        <v>441</v>
      </c>
      <c r="C53" s="16">
        <f>Лаб0!N53</f>
        <v>0</v>
      </c>
      <c r="D53" s="16">
        <f>Лаб1!AC53</f>
        <v>0</v>
      </c>
      <c r="E53" s="16">
        <f>Лаб2!AB53</f>
        <v>0</v>
      </c>
      <c r="F53" s="18">
        <f>Лаб3!Q53</f>
        <v>0</v>
      </c>
      <c r="G53" s="18">
        <f>Лаб4!K53</f>
        <v>0</v>
      </c>
      <c r="H53" s="18">
        <f>Лаб5!U53</f>
        <v>0</v>
      </c>
      <c r="I53" s="18">
        <f>Лаб6!Q53</f>
        <v>0</v>
      </c>
      <c r="J53" s="18">
        <f>Лаб7!R53</f>
        <v>0</v>
      </c>
      <c r="K53" s="18"/>
      <c r="L53" s="18"/>
      <c r="M53" s="18"/>
      <c r="N53" s="19">
        <f>Посещаемость!BJ53</f>
        <v>-4.2</v>
      </c>
      <c r="O53" s="82">
        <f t="shared" si="6"/>
        <v>0</v>
      </c>
      <c r="P53" s="7">
        <f t="shared" si="7"/>
        <v>-4.2</v>
      </c>
      <c r="Q53" s="7"/>
      <c r="R53" s="63">
        <f>Посещаемость!BG53</f>
        <v>24</v>
      </c>
      <c r="S53" s="81">
        <f t="shared" si="8"/>
        <v>0</v>
      </c>
      <c r="T53" s="81">
        <f t="shared" si="8"/>
        <v>0</v>
      </c>
      <c r="U53" s="81">
        <f t="shared" si="8"/>
        <v>0</v>
      </c>
      <c r="V53" s="40">
        <f>Посещаемость!BI53</f>
        <v>0.25</v>
      </c>
      <c r="W53" s="40">
        <f t="shared" si="9"/>
        <v>0</v>
      </c>
      <c r="X53" s="64">
        <f t="shared" si="10"/>
        <v>0.05</v>
      </c>
      <c r="Y53" s="17" t="str">
        <f t="shared" si="11"/>
        <v>Неудовлетворительно</v>
      </c>
    </row>
    <row r="54" spans="1:25" x14ac:dyDescent="0.25">
      <c r="A54" s="67">
        <v>21</v>
      </c>
      <c r="B54" s="2" t="s">
        <v>442</v>
      </c>
      <c r="C54" s="16">
        <f>Лаб0!N54</f>
        <v>0</v>
      </c>
      <c r="D54" s="16">
        <f>Лаб1!AC54</f>
        <v>4.4000000000000004</v>
      </c>
      <c r="E54" s="16">
        <f>Лаб2!AB54</f>
        <v>0</v>
      </c>
      <c r="F54" s="18">
        <f>Лаб3!Q54</f>
        <v>0</v>
      </c>
      <c r="G54" s="18">
        <f>Лаб4!K54</f>
        <v>0</v>
      </c>
      <c r="H54" s="18">
        <f>Лаб5!U54</f>
        <v>0</v>
      </c>
      <c r="I54" s="18">
        <f>Лаб6!Q54</f>
        <v>0</v>
      </c>
      <c r="J54" s="18">
        <f>Лаб7!R54</f>
        <v>0</v>
      </c>
      <c r="K54" s="18"/>
      <c r="L54" s="18"/>
      <c r="M54" s="18"/>
      <c r="N54" s="19">
        <f>Посещаемость!BJ54</f>
        <v>-4.2</v>
      </c>
      <c r="O54" s="82">
        <f t="shared" si="6"/>
        <v>4.4000000000000004</v>
      </c>
      <c r="P54" s="7">
        <f t="shared" si="7"/>
        <v>0.20000000000000018</v>
      </c>
      <c r="Q54" s="7"/>
      <c r="R54" s="63">
        <f>Посещаемость!BG54</f>
        <v>24</v>
      </c>
      <c r="S54" s="81">
        <f t="shared" si="8"/>
        <v>0.3666666666666667</v>
      </c>
      <c r="T54" s="81">
        <f t="shared" si="8"/>
        <v>0.19130434782608696</v>
      </c>
      <c r="U54" s="81">
        <f t="shared" si="8"/>
        <v>7.3333333333333334E-2</v>
      </c>
      <c r="V54" s="40">
        <f>Посещаемость!BI54</f>
        <v>0.25</v>
      </c>
      <c r="W54" s="40">
        <f t="shared" si="9"/>
        <v>7.3333333333333334E-2</v>
      </c>
      <c r="X54" s="64">
        <f t="shared" si="10"/>
        <v>0.10866666666666668</v>
      </c>
      <c r="Y54" s="17" t="str">
        <f t="shared" si="11"/>
        <v>Неудовлетворительно</v>
      </c>
    </row>
    <row r="55" spans="1:25" x14ac:dyDescent="0.25">
      <c r="A55" s="67">
        <v>22</v>
      </c>
      <c r="B55" s="2" t="s">
        <v>443</v>
      </c>
      <c r="C55" s="16">
        <f>Лаб0!N55</f>
        <v>0</v>
      </c>
      <c r="D55" s="16">
        <f>Лаб1!AC55</f>
        <v>6.094736842105263</v>
      </c>
      <c r="E55" s="16">
        <f>Лаб2!AB55</f>
        <v>6.4829999999999997</v>
      </c>
      <c r="F55" s="18">
        <f>Лаб3!Q55</f>
        <v>5.17</v>
      </c>
      <c r="G55" s="18">
        <f>Лаб4!K55</f>
        <v>4.2</v>
      </c>
      <c r="H55" s="18">
        <f>Лаб5!U55</f>
        <v>5.4420588235294121</v>
      </c>
      <c r="I55" s="18">
        <f>Лаб6!Q55</f>
        <v>6.2142857142857144</v>
      </c>
      <c r="J55" s="18">
        <f>Лаб7!R55</f>
        <v>6.0642857142857141</v>
      </c>
      <c r="K55" s="18"/>
      <c r="L55" s="18"/>
      <c r="M55" s="18">
        <v>20</v>
      </c>
      <c r="N55" s="19">
        <f>Посещаемость!BJ55</f>
        <v>1.3</v>
      </c>
      <c r="O55" s="82">
        <f t="shared" si="6"/>
        <v>59.668367094206104</v>
      </c>
      <c r="P55" s="7">
        <f t="shared" si="7"/>
        <v>60.968367094206101</v>
      </c>
      <c r="Q55" s="7"/>
      <c r="R55" s="63">
        <f>Посещаемость!BG55</f>
        <v>5</v>
      </c>
      <c r="S55" s="81">
        <f t="shared" si="8"/>
        <v>4.9723639245171753</v>
      </c>
      <c r="T55" s="81">
        <f t="shared" si="8"/>
        <v>2.5942768301828742</v>
      </c>
      <c r="U55" s="81">
        <f t="shared" si="8"/>
        <v>0.99447278490343505</v>
      </c>
      <c r="V55" s="40">
        <f>Посещаемость!BI55</f>
        <v>0.84375</v>
      </c>
      <c r="W55" s="40">
        <f t="shared" si="9"/>
        <v>0.99447278490343505</v>
      </c>
      <c r="X55" s="64">
        <f t="shared" si="10"/>
        <v>0.96432822792274808</v>
      </c>
      <c r="Y55" s="17" t="str">
        <f t="shared" si="11"/>
        <v>Удовлетворительно</v>
      </c>
    </row>
    <row r="56" spans="1:25" x14ac:dyDescent="0.25">
      <c r="A56" s="67">
        <v>23</v>
      </c>
      <c r="B56" s="2" t="s">
        <v>444</v>
      </c>
      <c r="C56" s="16">
        <f>Лаб0!N56</f>
        <v>0</v>
      </c>
      <c r="D56" s="16">
        <f>Лаб1!AC56</f>
        <v>0</v>
      </c>
      <c r="E56" s="16">
        <f>Лаб2!AB56</f>
        <v>0</v>
      </c>
      <c r="F56" s="18">
        <f>Лаб3!Q56</f>
        <v>0</v>
      </c>
      <c r="G56" s="18">
        <f>Лаб4!K56</f>
        <v>0</v>
      </c>
      <c r="H56" s="18">
        <f>Лаб5!U56</f>
        <v>0</v>
      </c>
      <c r="I56" s="18">
        <f>Лаб6!Q56</f>
        <v>0</v>
      </c>
      <c r="J56" s="18">
        <f>Лаб7!R56</f>
        <v>0</v>
      </c>
      <c r="K56" s="18"/>
      <c r="L56" s="18"/>
      <c r="M56" s="18"/>
      <c r="N56" s="19">
        <f>Посещаемость!BJ56</f>
        <v>0.8</v>
      </c>
      <c r="O56" s="82">
        <f t="shared" si="6"/>
        <v>0</v>
      </c>
      <c r="P56" s="7">
        <f t="shared" si="7"/>
        <v>0.8</v>
      </c>
      <c r="Q56" s="7"/>
      <c r="R56" s="63">
        <f>Посещаемость!BG56</f>
        <v>4</v>
      </c>
      <c r="S56" s="81">
        <f t="shared" si="8"/>
        <v>0</v>
      </c>
      <c r="T56" s="81">
        <f t="shared" si="8"/>
        <v>0</v>
      </c>
      <c r="U56" s="81">
        <f t="shared" si="8"/>
        <v>0</v>
      </c>
      <c r="V56" s="40">
        <f>Посещаемость!BI56</f>
        <v>0.875</v>
      </c>
      <c r="W56" s="40">
        <f t="shared" si="9"/>
        <v>0</v>
      </c>
      <c r="X56" s="64">
        <f t="shared" si="10"/>
        <v>0.17500000000000002</v>
      </c>
      <c r="Y56" s="17" t="str">
        <f t="shared" si="11"/>
        <v>Неудовлетворительно</v>
      </c>
    </row>
    <row r="57" spans="1:25" x14ac:dyDescent="0.25">
      <c r="A57" s="67">
        <v>24</v>
      </c>
      <c r="B57" s="2" t="s">
        <v>445</v>
      </c>
      <c r="C57" s="16">
        <f>Лаб0!N57</f>
        <v>0</v>
      </c>
      <c r="D57" s="16">
        <f>Лаб1!AC57</f>
        <v>0</v>
      </c>
      <c r="E57" s="16">
        <f>Лаб2!AB57</f>
        <v>0</v>
      </c>
      <c r="F57" s="18">
        <f>Лаб3!Q57</f>
        <v>0</v>
      </c>
      <c r="G57" s="18">
        <f>Лаб4!K57</f>
        <v>0</v>
      </c>
      <c r="H57" s="18">
        <f>Лаб5!U57</f>
        <v>0</v>
      </c>
      <c r="I57" s="18">
        <f>Лаб6!Q57</f>
        <v>0</v>
      </c>
      <c r="J57" s="18">
        <f>Лаб7!R57</f>
        <v>0</v>
      </c>
      <c r="K57" s="18"/>
      <c r="L57" s="18"/>
      <c r="M57" s="18"/>
      <c r="N57" s="19">
        <f>Посещаемость!BJ57</f>
        <v>-2.2000000000000002</v>
      </c>
      <c r="O57" s="82">
        <f t="shared" si="6"/>
        <v>0</v>
      </c>
      <c r="P57" s="7">
        <f t="shared" si="7"/>
        <v>-2.2000000000000002</v>
      </c>
      <c r="Q57" s="7"/>
      <c r="R57" s="63">
        <f>Посещаемость!BG57</f>
        <v>16</v>
      </c>
      <c r="S57" s="81">
        <f t="shared" si="8"/>
        <v>0</v>
      </c>
      <c r="T57" s="81">
        <f t="shared" si="8"/>
        <v>0</v>
      </c>
      <c r="U57" s="81">
        <f t="shared" si="8"/>
        <v>0</v>
      </c>
      <c r="V57" s="40">
        <f>Посещаемость!BI57</f>
        <v>0.5</v>
      </c>
      <c r="W57" s="40">
        <f t="shared" si="9"/>
        <v>0</v>
      </c>
      <c r="X57" s="64">
        <f t="shared" si="10"/>
        <v>0.1</v>
      </c>
      <c r="Y57" s="17" t="str">
        <f t="shared" si="11"/>
        <v>Неудовлетворительно</v>
      </c>
    </row>
    <row r="58" spans="1:25" x14ac:dyDescent="0.25">
      <c r="A58" s="67">
        <v>25</v>
      </c>
      <c r="B58" s="2" t="s">
        <v>446</v>
      </c>
      <c r="C58" s="16">
        <f>Лаб0!N58</f>
        <v>0</v>
      </c>
      <c r="D58" s="16">
        <f>Лаб1!AC58</f>
        <v>0</v>
      </c>
      <c r="E58" s="16">
        <f>Лаб2!AB58</f>
        <v>0</v>
      </c>
      <c r="F58" s="18">
        <f>Лаб3!Q58</f>
        <v>0</v>
      </c>
      <c r="G58" s="18">
        <f>Лаб4!K58</f>
        <v>0</v>
      </c>
      <c r="H58" s="18">
        <f>Лаб5!U58</f>
        <v>0</v>
      </c>
      <c r="I58" s="18">
        <f>Лаб6!Q58</f>
        <v>0</v>
      </c>
      <c r="J58" s="18">
        <f>Лаб7!R58</f>
        <v>0</v>
      </c>
      <c r="K58" s="18"/>
      <c r="L58" s="18"/>
      <c r="M58" s="18"/>
      <c r="N58" s="19">
        <f>Посещаемость!BJ58</f>
        <v>-6.1000000000000005</v>
      </c>
      <c r="O58" s="82">
        <f t="shared" si="6"/>
        <v>0</v>
      </c>
      <c r="P58" s="7">
        <f t="shared" si="7"/>
        <v>-6.1000000000000005</v>
      </c>
      <c r="Q58" s="7"/>
      <c r="R58" s="63">
        <f>Посещаемость!BG58</f>
        <v>31</v>
      </c>
      <c r="S58" s="81">
        <f t="shared" si="8"/>
        <v>0</v>
      </c>
      <c r="T58" s="81">
        <f t="shared" si="8"/>
        <v>0</v>
      </c>
      <c r="U58" s="81">
        <f t="shared" si="8"/>
        <v>0</v>
      </c>
      <c r="V58" s="40">
        <f>Посещаемость!BI58</f>
        <v>3.125E-2</v>
      </c>
      <c r="W58" s="40">
        <f t="shared" si="9"/>
        <v>0</v>
      </c>
      <c r="X58" s="64">
        <f t="shared" si="10"/>
        <v>6.2500000000000003E-3</v>
      </c>
      <c r="Y58" s="17" t="str">
        <f t="shared" si="11"/>
        <v>Неудовлетворительно</v>
      </c>
    </row>
    <row r="59" spans="1:25" x14ac:dyDescent="0.25">
      <c r="A59" s="67">
        <v>26</v>
      </c>
      <c r="B59" s="2" t="s">
        <v>447</v>
      </c>
      <c r="C59" s="16">
        <f>Лаб0!N59</f>
        <v>0</v>
      </c>
      <c r="D59" s="16">
        <f>Лаб1!AC59</f>
        <v>0</v>
      </c>
      <c r="E59" s="16">
        <f>Лаб2!AB59</f>
        <v>0</v>
      </c>
      <c r="F59" s="18">
        <f>Лаб3!Q59</f>
        <v>0</v>
      </c>
      <c r="G59" s="18">
        <f>Лаб4!K59</f>
        <v>0</v>
      </c>
      <c r="H59" s="18">
        <f>Лаб5!U59</f>
        <v>0</v>
      </c>
      <c r="I59" s="18">
        <f>Лаб6!Q59</f>
        <v>0</v>
      </c>
      <c r="J59" s="18">
        <f>Лаб7!R59</f>
        <v>0</v>
      </c>
      <c r="K59" s="18"/>
      <c r="L59" s="18"/>
      <c r="M59" s="18"/>
      <c r="N59" s="19">
        <f>Посещаемость!BJ59</f>
        <v>-5.2</v>
      </c>
      <c r="O59" s="82">
        <f t="shared" si="6"/>
        <v>0</v>
      </c>
      <c r="P59" s="7">
        <f t="shared" si="7"/>
        <v>-5.2</v>
      </c>
      <c r="Q59" s="7"/>
      <c r="R59" s="63">
        <f>Посещаемость!BG59</f>
        <v>28</v>
      </c>
      <c r="S59" s="81">
        <f t="shared" si="8"/>
        <v>0</v>
      </c>
      <c r="T59" s="81">
        <f t="shared" si="8"/>
        <v>0</v>
      </c>
      <c r="U59" s="81">
        <f t="shared" si="8"/>
        <v>0</v>
      </c>
      <c r="V59" s="40">
        <f>Посещаемость!BI59</f>
        <v>0.125</v>
      </c>
      <c r="W59" s="40">
        <f t="shared" si="9"/>
        <v>0</v>
      </c>
      <c r="X59" s="64">
        <f t="shared" si="10"/>
        <v>2.5000000000000001E-2</v>
      </c>
      <c r="Y59" s="17" t="str">
        <f t="shared" si="11"/>
        <v>Неудовлетворительно</v>
      </c>
    </row>
    <row r="60" spans="1:25" x14ac:dyDescent="0.25">
      <c r="A60" s="67">
        <v>27</v>
      </c>
      <c r="B60" s="2" t="s">
        <v>448</v>
      </c>
      <c r="C60" s="16">
        <f>Лаб0!N60</f>
        <v>0</v>
      </c>
      <c r="D60" s="16">
        <f>Лаб1!AC60</f>
        <v>8.0244</v>
      </c>
      <c r="E60" s="16">
        <f>Лаб2!AB60</f>
        <v>6.8294999999999995</v>
      </c>
      <c r="F60" s="18">
        <f>Лаб3!Q60</f>
        <v>5.31</v>
      </c>
      <c r="G60" s="18">
        <f>Лаб4!K60</f>
        <v>5.5440000000000005</v>
      </c>
      <c r="H60" s="18">
        <f>Лаб5!U60</f>
        <v>5.2580882352941174</v>
      </c>
      <c r="I60" s="18">
        <f>Лаб6!Q60</f>
        <v>4.5</v>
      </c>
      <c r="J60" s="18">
        <f>Лаб7!R60</f>
        <v>4.29</v>
      </c>
      <c r="K60" s="18"/>
      <c r="L60" s="18"/>
      <c r="M60" s="18">
        <v>20</v>
      </c>
      <c r="N60" s="19">
        <f>Посещаемость!BJ60</f>
        <v>1.8</v>
      </c>
      <c r="O60" s="82">
        <f t="shared" si="6"/>
        <v>59.755988235294119</v>
      </c>
      <c r="P60" s="7">
        <f t="shared" si="7"/>
        <v>61.555988235294116</v>
      </c>
      <c r="Q60" s="7"/>
      <c r="R60" s="63">
        <f>Посещаемость!BG60</f>
        <v>3</v>
      </c>
      <c r="S60" s="81">
        <f t="shared" si="8"/>
        <v>4.9796656862745099</v>
      </c>
      <c r="T60" s="81">
        <f t="shared" si="8"/>
        <v>2.5980864450127878</v>
      </c>
      <c r="U60" s="81">
        <f t="shared" si="8"/>
        <v>0.99593313725490196</v>
      </c>
      <c r="V60" s="40">
        <f>Посещаемость!BI60</f>
        <v>0.90625</v>
      </c>
      <c r="W60" s="40">
        <f t="shared" si="9"/>
        <v>0.99593313725490196</v>
      </c>
      <c r="X60" s="64">
        <f t="shared" si="10"/>
        <v>0.97799650980392161</v>
      </c>
      <c r="Y60" s="17" t="str">
        <f t="shared" si="11"/>
        <v>Удовлетворительно</v>
      </c>
    </row>
    <row r="61" spans="1:25" x14ac:dyDescent="0.25">
      <c r="A61" s="67">
        <v>28</v>
      </c>
      <c r="B61" s="124" t="s">
        <v>553</v>
      </c>
      <c r="C61" s="16">
        <f>Лаб0!N61</f>
        <v>0</v>
      </c>
      <c r="D61" s="16">
        <f>Лаб1!AC61</f>
        <v>6.3473684210526313</v>
      </c>
      <c r="E61" s="16">
        <f>Лаб2!AB61</f>
        <v>0</v>
      </c>
      <c r="F61" s="18">
        <f>Лаб3!Q61</f>
        <v>0</v>
      </c>
      <c r="G61" s="18">
        <f>Лаб4!K61</f>
        <v>0</v>
      </c>
      <c r="H61" s="18">
        <f>Лаб5!U61</f>
        <v>0</v>
      </c>
      <c r="I61" s="18">
        <f>Лаб6!Q61</f>
        <v>0</v>
      </c>
      <c r="J61" s="18">
        <f>Лаб7!R61</f>
        <v>0</v>
      </c>
      <c r="K61" s="18"/>
      <c r="L61" s="18"/>
      <c r="M61" s="18"/>
      <c r="N61" s="19">
        <f>Посещаемость!BJ61</f>
        <v>-0.9</v>
      </c>
      <c r="O61" s="82">
        <f t="shared" si="6"/>
        <v>6.3473684210526313</v>
      </c>
      <c r="P61" s="7">
        <f t="shared" si="7"/>
        <v>5.447368421052631</v>
      </c>
      <c r="Q61" s="7"/>
      <c r="R61" s="63">
        <f>Посещаемость!BG61</f>
        <v>6</v>
      </c>
      <c r="S61" s="81">
        <f t="shared" si="8"/>
        <v>0.52894736842105261</v>
      </c>
      <c r="T61" s="81">
        <f t="shared" si="8"/>
        <v>0.2759725400457666</v>
      </c>
      <c r="U61" s="81">
        <f t="shared" si="8"/>
        <v>0.10578947368421052</v>
      </c>
      <c r="V61" s="40">
        <f>Посещаемость!BI61</f>
        <v>0.45454545454545453</v>
      </c>
      <c r="W61" s="40">
        <f t="shared" si="9"/>
        <v>0.10578947368421052</v>
      </c>
      <c r="X61" s="64">
        <f t="shared" si="10"/>
        <v>0.17554066985645933</v>
      </c>
      <c r="Y61" s="17" t="str">
        <f t="shared" si="11"/>
        <v>Неудовлетворительно</v>
      </c>
    </row>
    <row r="62" spans="1:25" x14ac:dyDescent="0.25">
      <c r="A62" s="67">
        <v>29</v>
      </c>
      <c r="B62" s="124"/>
      <c r="C62" s="16">
        <f>Лаб0!N62</f>
        <v>0</v>
      </c>
      <c r="D62" s="16">
        <f>Лаб1!AC62</f>
        <v>0</v>
      </c>
      <c r="E62" s="16">
        <f>Лаб2!AB62</f>
        <v>0</v>
      </c>
      <c r="F62" s="18">
        <f>Лаб3!Q62</f>
        <v>0</v>
      </c>
      <c r="G62" s="18">
        <f>Лаб4!K62</f>
        <v>0</v>
      </c>
      <c r="H62" s="18">
        <f>Лаб5!U62</f>
        <v>0</v>
      </c>
      <c r="I62" s="18">
        <f>Лаб6!Q62</f>
        <v>0</v>
      </c>
      <c r="J62" s="18">
        <f>Лаб7!R62</f>
        <v>0</v>
      </c>
      <c r="K62" s="18"/>
      <c r="L62" s="18"/>
      <c r="M62" s="18"/>
      <c r="N62" s="19">
        <f>Посещаемость!BJ62</f>
        <v>0</v>
      </c>
      <c r="O62" s="82">
        <f t="shared" si="6"/>
        <v>0</v>
      </c>
      <c r="P62" s="7">
        <f t="shared" si="7"/>
        <v>0</v>
      </c>
      <c r="Q62" s="7"/>
      <c r="R62" s="63">
        <f>Посещаемость!BG62</f>
        <v>0</v>
      </c>
      <c r="S62" s="81">
        <f t="shared" si="8"/>
        <v>0</v>
      </c>
      <c r="T62" s="81">
        <f t="shared" si="8"/>
        <v>0</v>
      </c>
      <c r="U62" s="81">
        <f t="shared" si="8"/>
        <v>0</v>
      </c>
      <c r="V62" s="40">
        <f>Посещаемость!BI62</f>
        <v>0</v>
      </c>
      <c r="W62" s="40">
        <f t="shared" si="9"/>
        <v>0</v>
      </c>
      <c r="X62" s="64">
        <f t="shared" si="10"/>
        <v>0</v>
      </c>
      <c r="Y62" s="17" t="str">
        <f t="shared" si="11"/>
        <v>Неудовлетворительно</v>
      </c>
    </row>
    <row r="63" spans="1:25" x14ac:dyDescent="0.25">
      <c r="A63" s="67">
        <v>30</v>
      </c>
      <c r="B63" s="124"/>
      <c r="C63" s="16">
        <f>Лаб0!N63</f>
        <v>0</v>
      </c>
      <c r="D63" s="16">
        <f>Лаб1!AC63</f>
        <v>0</v>
      </c>
      <c r="E63" s="16">
        <f>Лаб2!AB63</f>
        <v>0</v>
      </c>
      <c r="F63" s="18">
        <f>Лаб3!Q63</f>
        <v>0</v>
      </c>
      <c r="G63" s="18">
        <f>Лаб4!K63</f>
        <v>0</v>
      </c>
      <c r="H63" s="18">
        <f>Лаб5!U63</f>
        <v>0</v>
      </c>
      <c r="I63" s="18">
        <f>Лаб6!Q63</f>
        <v>0</v>
      </c>
      <c r="J63" s="18">
        <f>Лаб7!R63</f>
        <v>0</v>
      </c>
      <c r="K63" s="18"/>
      <c r="L63" s="18"/>
      <c r="M63" s="18"/>
      <c r="N63" s="19">
        <f>Посещаемость!BJ63</f>
        <v>0</v>
      </c>
      <c r="O63" s="82">
        <f t="shared" si="6"/>
        <v>0</v>
      </c>
      <c r="P63" s="7">
        <f t="shared" si="7"/>
        <v>0</v>
      </c>
      <c r="Q63" s="7"/>
      <c r="R63" s="63">
        <f>Посещаемость!BG63</f>
        <v>0</v>
      </c>
      <c r="S63" s="81">
        <f t="shared" si="8"/>
        <v>0</v>
      </c>
      <c r="T63" s="81">
        <f t="shared" si="8"/>
        <v>0</v>
      </c>
      <c r="U63" s="81">
        <f t="shared" si="8"/>
        <v>0</v>
      </c>
      <c r="V63" s="40">
        <f>Посещаемость!BI63</f>
        <v>0</v>
      </c>
      <c r="W63" s="40">
        <f t="shared" si="9"/>
        <v>0</v>
      </c>
      <c r="X63" s="64">
        <f t="shared" si="10"/>
        <v>0</v>
      </c>
      <c r="Y63" s="17" t="str">
        <f t="shared" si="11"/>
        <v>Неудовлетворительно</v>
      </c>
    </row>
    <row r="64" spans="1:25" x14ac:dyDescent="0.25">
      <c r="B64" s="1" t="s">
        <v>34</v>
      </c>
      <c r="C64" s="37">
        <f>Лаб0!D69</f>
        <v>3</v>
      </c>
      <c r="D64" s="37">
        <f>Лаб1!D69</f>
        <v>9</v>
      </c>
      <c r="E64" s="37">
        <f>Лаб2!D69</f>
        <v>9</v>
      </c>
      <c r="F64" s="37">
        <f>Лаб3!D69</f>
        <v>7.5</v>
      </c>
      <c r="G64" s="37">
        <f>Лаб4!D69</f>
        <v>9</v>
      </c>
      <c r="H64" s="37">
        <f>Лаб5!D69</f>
        <v>7.5</v>
      </c>
      <c r="I64" s="37">
        <f>Лаб6!D69</f>
        <v>9</v>
      </c>
      <c r="J64" s="37">
        <f>Лаб7!D69</f>
        <v>9</v>
      </c>
      <c r="K64" s="37"/>
      <c r="L64" s="37"/>
      <c r="M64" s="37">
        <v>30</v>
      </c>
      <c r="N64">
        <f>Посещаемость!D69</f>
        <v>3.4</v>
      </c>
      <c r="S64">
        <f>SUM(D64:E64)</f>
        <v>18</v>
      </c>
      <c r="T64">
        <f>SUM(D64:G64)</f>
        <v>34.5</v>
      </c>
      <c r="U64">
        <f>SUM(D64:M64)</f>
        <v>90</v>
      </c>
    </row>
    <row r="65" spans="2:21" x14ac:dyDescent="0.25">
      <c r="B65" s="9" t="s">
        <v>35</v>
      </c>
      <c r="C65" s="37">
        <f>Лаб0!D70</f>
        <v>2.5</v>
      </c>
      <c r="D65" s="37">
        <f>Лаб1!D70</f>
        <v>7.5</v>
      </c>
      <c r="E65" s="37">
        <f>Лаб2!D70</f>
        <v>7.5</v>
      </c>
      <c r="F65" s="37">
        <f>Лаб3!D70</f>
        <v>6.25</v>
      </c>
      <c r="G65" s="37">
        <f>Лаб4!D70</f>
        <v>7.5</v>
      </c>
      <c r="H65" s="37">
        <f>Лаб5!D70</f>
        <v>6.25</v>
      </c>
      <c r="I65" s="37">
        <f>Лаб6!D70</f>
        <v>7.5</v>
      </c>
      <c r="J65" s="37">
        <f>Лаб7!D70</f>
        <v>7.5</v>
      </c>
      <c r="K65" s="37"/>
      <c r="L65" s="37"/>
      <c r="M65" s="37">
        <v>25</v>
      </c>
      <c r="N65">
        <f>Посещаемость!D70</f>
        <v>3</v>
      </c>
      <c r="S65">
        <f>SUM(D65:E65)</f>
        <v>15</v>
      </c>
      <c r="T65">
        <f>SUM(D65:G65)</f>
        <v>28.75</v>
      </c>
      <c r="U65">
        <f>SUM(D65:M65)</f>
        <v>75</v>
      </c>
    </row>
    <row r="66" spans="2:21" x14ac:dyDescent="0.25">
      <c r="B66" s="9" t="s">
        <v>36</v>
      </c>
      <c r="C66" s="37">
        <f>Лаб0!D71</f>
        <v>2</v>
      </c>
      <c r="D66" s="37">
        <f>Лаб1!D71</f>
        <v>6</v>
      </c>
      <c r="E66" s="37">
        <f>Лаб2!D71</f>
        <v>6</v>
      </c>
      <c r="F66" s="37">
        <f>Лаб3!D71</f>
        <v>5</v>
      </c>
      <c r="G66" s="37">
        <f>Лаб4!D71</f>
        <v>6</v>
      </c>
      <c r="H66" s="37">
        <f>Лаб5!D71</f>
        <v>5</v>
      </c>
      <c r="I66" s="37">
        <f>Лаб6!D71</f>
        <v>6</v>
      </c>
      <c r="J66" s="37">
        <f>Лаб7!D71</f>
        <v>6</v>
      </c>
      <c r="K66" s="37"/>
      <c r="L66" s="37"/>
      <c r="M66" s="37">
        <v>20</v>
      </c>
      <c r="N66">
        <f>Посещаемость!D71</f>
        <v>2.7</v>
      </c>
      <c r="S66">
        <f>SUM(D66:E66)</f>
        <v>12</v>
      </c>
      <c r="T66">
        <f>SUM(D66:G66)</f>
        <v>23</v>
      </c>
      <c r="U66">
        <f>SUM(D66:M66)</f>
        <v>60</v>
      </c>
    </row>
    <row r="67" spans="2:21" x14ac:dyDescent="0.25">
      <c r="B67" s="9" t="s">
        <v>44</v>
      </c>
      <c r="C67" s="39">
        <f t="shared" ref="C67:J67" si="12">SUM(C3:C63)/(C66*(COUNTA(C3:C63) - 1))</f>
        <v>0</v>
      </c>
      <c r="D67" s="39">
        <f t="shared" si="12"/>
        <v>0.64127483918128658</v>
      </c>
      <c r="E67" s="39">
        <f t="shared" si="12"/>
        <v>0.44959270833333326</v>
      </c>
      <c r="F67" s="39">
        <f t="shared" si="12"/>
        <v>0.43474194444444447</v>
      </c>
      <c r="G67" s="39">
        <f t="shared" si="12"/>
        <v>0.32887865079365081</v>
      </c>
      <c r="H67" s="39">
        <f t="shared" si="12"/>
        <v>0.44337524509803916</v>
      </c>
      <c r="I67" s="39">
        <f t="shared" si="12"/>
        <v>0.38280563186813188</v>
      </c>
      <c r="J67" s="39">
        <f t="shared" si="12"/>
        <v>0.26812797619047629</v>
      </c>
      <c r="K67" s="39"/>
      <c r="L67" s="39"/>
      <c r="M67" s="39"/>
    </row>
    <row r="68" spans="2:21" x14ac:dyDescent="0.25">
      <c r="D68" t="s">
        <v>17</v>
      </c>
    </row>
    <row r="69" spans="2:21" x14ac:dyDescent="0.25">
      <c r="B69" t="s">
        <v>13</v>
      </c>
      <c r="D69">
        <f>SUM(D64:M64)</f>
        <v>90</v>
      </c>
    </row>
    <row r="70" spans="2:21" x14ac:dyDescent="0.25">
      <c r="B70" t="s">
        <v>14</v>
      </c>
      <c r="D70">
        <f>SUM(D65:M65)</f>
        <v>75</v>
      </c>
    </row>
    <row r="71" spans="2:21" x14ac:dyDescent="0.25">
      <c r="B71" t="s">
        <v>15</v>
      </c>
      <c r="D71">
        <f>SUM(D66:M66)</f>
        <v>60</v>
      </c>
    </row>
    <row r="74" spans="2:21" x14ac:dyDescent="0.25">
      <c r="C74" s="89">
        <v>2</v>
      </c>
      <c r="D74" s="89">
        <v>3</v>
      </c>
      <c r="E74" s="89">
        <v>4</v>
      </c>
      <c r="F74" s="89">
        <v>6</v>
      </c>
      <c r="G74" s="89">
        <v>6</v>
      </c>
      <c r="H74" s="89">
        <v>6</v>
      </c>
      <c r="I74" s="89">
        <v>6</v>
      </c>
      <c r="J74" s="89">
        <v>7</v>
      </c>
      <c r="K74" s="39"/>
      <c r="L74" s="39"/>
      <c r="M74" s="39"/>
    </row>
  </sheetData>
  <phoneticPr fontId="8" type="noConversion"/>
  <conditionalFormatting sqref="C34:C63 C3:C32">
    <cfRule type="colorScale" priority="66">
      <colorScale>
        <cfvo type="num" val="0"/>
        <cfvo type="num" val="$C$66"/>
        <cfvo type="num" val="$C$64"/>
        <color rgb="FFFF0000"/>
        <color rgb="FFFFFF00"/>
        <color rgb="FF00B050"/>
      </colorScale>
    </cfRule>
  </conditionalFormatting>
  <conditionalFormatting sqref="D34:D63 D3:D32">
    <cfRule type="colorScale" priority="65">
      <colorScale>
        <cfvo type="num" val="0"/>
        <cfvo type="num" val="$D$66"/>
        <cfvo type="num" val="$D$64"/>
        <color rgb="FFFF0000"/>
        <color rgb="FFFFFF00"/>
        <color rgb="FF00B050"/>
      </colorScale>
    </cfRule>
  </conditionalFormatting>
  <conditionalFormatting sqref="E34:E63 E3:E32">
    <cfRule type="colorScale" priority="63">
      <colorScale>
        <cfvo type="num" val="0"/>
        <cfvo type="num" val="$E$66"/>
        <cfvo type="num" val="$E$64"/>
        <color rgb="FFFF0000"/>
        <color rgb="FFFFFF00"/>
        <color rgb="FF00B050"/>
      </colorScale>
    </cfRule>
    <cfRule type="colorScale" priority="64">
      <colorScale>
        <cfvo type="num" val="$E$66"/>
        <cfvo type="num" val="$E$65"/>
        <cfvo type="num" val="$E$64"/>
        <color rgb="FFFF0000"/>
        <color rgb="FFFFFF00"/>
        <color rgb="FF00B050"/>
      </colorScale>
    </cfRule>
  </conditionalFormatting>
  <conditionalFormatting sqref="O34:O63 O3:O32">
    <cfRule type="colorScale" priority="29">
      <colorScale>
        <cfvo type="num" val="0"/>
        <cfvo type="num" val="$D$71"/>
        <cfvo type="num" val="$D$69"/>
        <color rgb="FFFF0000"/>
        <color rgb="FFFFFF00"/>
        <color rgb="FF00B050"/>
      </colorScale>
    </cfRule>
    <cfRule type="colorScale" priority="30">
      <colorScale>
        <cfvo type="num" val="0"/>
        <cfvo type="num" val="$S$66"/>
        <cfvo type="num" val="$S$64"/>
        <color rgb="FFFF0000"/>
        <color rgb="FFFFFF00"/>
        <color rgb="FF00B050"/>
      </colorScale>
    </cfRule>
    <cfRule type="colorScale" priority="61">
      <colorScale>
        <cfvo type="num" val="0"/>
        <cfvo type="num" val="$D$71"/>
        <cfvo type="num" val="$D$69"/>
        <color rgb="FFFF0000"/>
        <color rgb="FFFFFF00"/>
        <color rgb="FF00B050"/>
      </colorScale>
    </cfRule>
    <cfRule type="colorScale" priority="62">
      <colorScale>
        <cfvo type="num" val="0"/>
        <cfvo type="num" val="$D$71"/>
        <cfvo type="num" val="$D$69"/>
        <color rgb="FFFF0000"/>
        <color rgb="FFFFFF00"/>
        <color rgb="FFFF0000"/>
      </colorScale>
    </cfRule>
  </conditionalFormatting>
  <conditionalFormatting sqref="F34:F63 F3:F32">
    <cfRule type="colorScale" priority="60">
      <colorScale>
        <cfvo type="num" val="0"/>
        <cfvo type="num" val="$F$66"/>
        <cfvo type="num" val="$F$64"/>
        <color rgb="FFFF0000"/>
        <color rgb="FFFFFF00"/>
        <color rgb="FF00B050"/>
      </colorScale>
    </cfRule>
  </conditionalFormatting>
  <conditionalFormatting sqref="V34:V63 V3:V32">
    <cfRule type="colorScale" priority="51">
      <colorScale>
        <cfvo type="num" val="0"/>
        <cfvo type="num" val="0.8"/>
        <cfvo type="num" val="1"/>
        <color rgb="FFFF0000"/>
        <color rgb="FFFFFF00"/>
        <color rgb="FF00B050"/>
      </colorScale>
    </cfRule>
    <cfRule type="colorScale" priority="52">
      <colorScale>
        <cfvo type="num" val="0"/>
        <cfvo type="num" val="0.7"/>
        <cfvo type="num" val="1"/>
        <color rgb="FFFF0000"/>
        <color rgb="FFFFFF00"/>
        <color rgb="FF00B050"/>
      </colorScale>
    </cfRule>
  </conditionalFormatting>
  <conditionalFormatting sqref="W34:W63 W6:W7 W3:X5 T3:U5 T8:U32 W8:X32">
    <cfRule type="colorScale" priority="50">
      <colorScale>
        <cfvo type="num" val="0"/>
        <cfvo type="num" val="1"/>
        <cfvo type="num" val="1.5"/>
        <color rgb="FFFF0000"/>
        <color rgb="FFFFFF00"/>
        <color rgb="FF00B050"/>
      </colorScale>
    </cfRule>
  </conditionalFormatting>
  <conditionalFormatting sqref="S34:S63 S3:S32">
    <cfRule type="colorScale" priority="47">
      <colorScale>
        <cfvo type="num" val="0"/>
        <cfvo type="num" val="1"/>
        <cfvo type="num" val="1.5"/>
        <color rgb="FFFF0000"/>
        <color rgb="FFFFFF00"/>
        <color rgb="FF00B050"/>
      </colorScale>
    </cfRule>
    <cfRule type="colorScale" priority="48">
      <colorScale>
        <cfvo type="num" val="0"/>
        <cfvo type="num" val="$S$66"/>
        <cfvo type="num" val="$S$64"/>
        <color rgb="FFFF0000"/>
        <color rgb="FFFFFF00"/>
        <color rgb="FF00B050"/>
      </colorScale>
    </cfRule>
  </conditionalFormatting>
  <conditionalFormatting sqref="T34:T63 T6:T7">
    <cfRule type="colorScale" priority="46">
      <colorScale>
        <cfvo type="num" val="0"/>
        <cfvo type="num" val="1"/>
        <cfvo type="num" val="1.5"/>
        <color rgb="FFFF0000"/>
        <color rgb="FFFFFF00"/>
        <color rgb="FF00B050"/>
      </colorScale>
    </cfRule>
  </conditionalFormatting>
  <conditionalFormatting sqref="U34:U63 U6:U7">
    <cfRule type="colorScale" priority="45">
      <colorScale>
        <cfvo type="num" val="0"/>
        <cfvo type="num" val="1"/>
        <cfvo type="num" val="1.5"/>
        <color rgb="FFFF0000"/>
        <color rgb="FFFFFF00"/>
        <color rgb="FF00B050"/>
      </colorScale>
    </cfRule>
  </conditionalFormatting>
  <conditionalFormatting sqref="G34:G63 G3:G32">
    <cfRule type="colorScale" priority="44">
      <colorScale>
        <cfvo type="num" val="0"/>
        <cfvo type="num" val="$G$66"/>
        <cfvo type="num" val="$G$64"/>
        <color rgb="FFFF0000"/>
        <color rgb="FFFFFF00"/>
        <color rgb="FF00B050"/>
      </colorScale>
    </cfRule>
  </conditionalFormatting>
  <conditionalFormatting sqref="H34:H63 H3:H32">
    <cfRule type="colorScale" priority="43">
      <colorScale>
        <cfvo type="num" val="0"/>
        <cfvo type="num" val="$H$66"/>
        <cfvo type="num" val="$H$64"/>
        <color rgb="FFFF0000"/>
        <color rgb="FFFFFF00"/>
        <color rgb="FF00B050"/>
      </colorScale>
    </cfRule>
  </conditionalFormatting>
  <conditionalFormatting sqref="I34:I63 I3:I32">
    <cfRule type="colorScale" priority="42">
      <colorScale>
        <cfvo type="num" val="0"/>
        <cfvo type="num" val="$I$66"/>
        <cfvo type="num" val="$I$64"/>
        <color rgb="FFFF0000"/>
        <color rgb="FFFFFF00"/>
        <color rgb="FF00B050"/>
      </colorScale>
    </cfRule>
  </conditionalFormatting>
  <conditionalFormatting sqref="J34:J63 J3:J32">
    <cfRule type="colorScale" priority="41">
      <colorScale>
        <cfvo type="num" val="0"/>
        <cfvo type="num" val="$J$66"/>
        <cfvo type="num" val="$J$64"/>
        <color rgb="FFFF0000"/>
        <color rgb="FFFFFF00"/>
        <color rgb="FF00B050"/>
      </colorScale>
    </cfRule>
  </conditionalFormatting>
  <conditionalFormatting sqref="X6:X7">
    <cfRule type="colorScale" priority="40">
      <colorScale>
        <cfvo type="num" val="0"/>
        <cfvo type="num" val="1"/>
        <cfvo type="num" val="1.5"/>
        <color rgb="FFFF0000"/>
        <color rgb="FFFFFF00"/>
        <color rgb="FF00B050"/>
      </colorScale>
    </cfRule>
  </conditionalFormatting>
  <conditionalFormatting sqref="X34:X63">
    <cfRule type="colorScale" priority="38">
      <colorScale>
        <cfvo type="num" val="0"/>
        <cfvo type="num" val="1"/>
        <cfvo type="num" val="1.5"/>
        <color rgb="FFFF0000"/>
        <color rgb="FFFFFF00"/>
        <color rgb="FF00B050"/>
      </colorScale>
    </cfRule>
  </conditionalFormatting>
  <conditionalFormatting sqref="N3:N32">
    <cfRule type="colorScale" priority="146">
      <colorScale>
        <cfvo type="min"/>
        <cfvo type="num" val="&quot;МАКС($A$3:$N$3)*0,8&quot;"/>
        <cfvo type="max"/>
        <color rgb="FFFF0000"/>
        <color rgb="FFFFFF00"/>
        <color rgb="FF00B050"/>
      </colorScale>
    </cfRule>
  </conditionalFormatting>
  <conditionalFormatting sqref="R34:U63 R3:U32">
    <cfRule type="colorScale" priority="183">
      <colorScale>
        <cfvo type="num" val="0"/>
        <cfvo type="percentile" val="75"/>
        <cfvo type="max"/>
        <color rgb="FF00B050"/>
        <color rgb="FFFFFF00"/>
        <color rgb="FFFF0000"/>
      </colorScale>
    </cfRule>
    <cfRule type="colorScale" priority="184">
      <colorScale>
        <cfvo type="num" val="0"/>
        <cfvo type="percentile" val="60"/>
        <cfvo type="max"/>
        <color rgb="FF00B050"/>
        <color rgb="FFFFFF00"/>
        <color rgb="FFFF0000"/>
      </colorScale>
    </cfRule>
    <cfRule type="colorScale" priority="185">
      <colorScale>
        <cfvo type="num" val="0"/>
        <cfvo type="percentile" val="40"/>
        <cfvo type="max"/>
        <color rgb="FF00B050"/>
        <color rgb="FFFFFF00"/>
        <color rgb="FFFF0000"/>
      </colorScale>
    </cfRule>
  </conditionalFormatting>
  <conditionalFormatting sqref="N34:N63">
    <cfRule type="colorScale" priority="195">
      <colorScale>
        <cfvo type="min"/>
        <cfvo type="num" val="&quot;МАКС($N$20:$N$35)*0,8&quot;"/>
        <cfvo type="max"/>
        <color rgb="FFFF0000"/>
        <color rgb="FFFFFF00"/>
        <color rgb="FF00B050"/>
      </colorScale>
    </cfRule>
  </conditionalFormatting>
  <conditionalFormatting sqref="N34:N63 N3:N32">
    <cfRule type="colorScale" priority="241">
      <colorScale>
        <cfvo type="num" val="0"/>
        <cfvo type="formula" val="MAX($N$3:$N$25,$N$34:$N$63)*0.6"/>
        <cfvo type="max"/>
        <color rgb="FFFF0000"/>
        <color rgb="FFFFFF00"/>
        <color rgb="FF00B050"/>
      </colorScale>
    </cfRule>
    <cfRule type="colorScale" priority="242">
      <colorScale>
        <cfvo type="num" val="0"/>
        <cfvo type="formula" val="MAX($N$3:$N$25,$N$34:$N$63)"/>
        <cfvo type="max"/>
        <color rgb="FFFF0000"/>
        <color rgb="FFFFFF00"/>
        <color rgb="FF00B050"/>
      </colorScale>
    </cfRule>
    <cfRule type="colorScale" priority="243">
      <colorScale>
        <cfvo type="num" val="0"/>
        <cfvo type="formula" val="&quot;МАКС($N$3:$N$18;$N$20:$N$35)*0,8&quot;"/>
        <cfvo type="max"/>
        <color rgb="FFFF0000"/>
        <color rgb="FFFFFF00"/>
        <color rgb="FF00B050"/>
      </colorScale>
    </cfRule>
    <cfRule type="colorScale" priority="244">
      <colorScale>
        <cfvo type="min"/>
        <cfvo type="formula" val="MAX($N$3:$N$25,$N$34:$N$63)*0.5"/>
        <cfvo type="max"/>
        <color rgb="FFFF0000"/>
        <color rgb="FFFFFF00"/>
        <color rgb="FF00B050"/>
      </colorScale>
    </cfRule>
    <cfRule type="colorScale" priority="245">
      <colorScale>
        <cfvo type="min"/>
        <cfvo type="num" val="&quot;МАКС($N$3:$N$18;$N$20:$N$35)*0,8&quot;"/>
        <cfvo type="max"/>
        <color rgb="FFFF0000"/>
        <color rgb="FFFFFF00"/>
        <color rgb="FF00B050"/>
      </colorScale>
    </cfRule>
    <cfRule type="colorScale" priority="246">
      <colorScale>
        <cfvo type="num" val="0"/>
        <cfvo type="percentile" val="40"/>
        <cfvo type="max"/>
        <color rgb="FFFF0000"/>
        <color rgb="FFFFFF00"/>
        <color rgb="FF00B050"/>
      </colorScale>
    </cfRule>
    <cfRule type="colorScale" priority="247">
      <colorScale>
        <cfvo type="num" val="0"/>
        <cfvo type="percentile" val="60"/>
        <cfvo type="max"/>
        <color rgb="FFFF0000"/>
        <color rgb="FFFFFF00"/>
        <color rgb="FF00B050"/>
      </colorScale>
    </cfRule>
    <cfRule type="colorScale" priority="248">
      <colorScale>
        <cfvo type="min"/>
        <cfvo type="percentile" val="60"/>
        <cfvo type="max"/>
        <color rgb="FFFF0000"/>
        <color rgb="FFFFFF00"/>
        <color rgb="FF00B050"/>
      </colorScale>
    </cfRule>
    <cfRule type="colorScale" priority="249">
      <colorScale>
        <cfvo type="num" val="0"/>
        <cfvo type="percentile" val="50"/>
        <cfvo type="max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horizontalDpi="180" verticalDpi="18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AE71"/>
  <sheetViews>
    <sheetView tabSelected="1" zoomScale="85" zoomScaleNormal="85" workbookViewId="0">
      <pane xSplit="2" ySplit="2" topLeftCell="C6" activePane="bottomRight" state="frozen"/>
      <selection pane="topRight" activeCell="C1" sqref="C1"/>
      <selection pane="bottomLeft" activeCell="A3" sqref="A3"/>
      <selection pane="bottomRight" activeCell="E8" sqref="E8"/>
    </sheetView>
  </sheetViews>
  <sheetFormatPr defaultRowHeight="15" x14ac:dyDescent="0.25"/>
  <cols>
    <col min="2" max="2" width="38.7109375" customWidth="1"/>
    <col min="3" max="3" width="8.28515625" customWidth="1"/>
    <col min="4" max="4" width="12.140625" customWidth="1"/>
    <col min="5" max="5" width="10.28515625" customWidth="1"/>
    <col min="6" max="6" width="9.5703125" customWidth="1"/>
    <col min="7" max="9" width="10.85546875" customWidth="1"/>
    <col min="10" max="10" width="9.28515625" customWidth="1"/>
    <col min="11" max="12" width="7.28515625" hidden="1" customWidth="1"/>
    <col min="13" max="13" width="10.28515625" customWidth="1"/>
    <col min="14" max="14" width="13.28515625" customWidth="1"/>
    <col min="15" max="15" width="14" customWidth="1"/>
    <col min="16" max="16" width="8.42578125" customWidth="1"/>
    <col min="17" max="17" width="8" customWidth="1"/>
    <col min="18" max="21" width="9.42578125" customWidth="1"/>
    <col min="22" max="22" width="9.85546875" customWidth="1"/>
    <col min="23" max="23" width="11.140625" customWidth="1"/>
    <col min="24" max="24" width="9.85546875" customWidth="1"/>
    <col min="25" max="25" width="23.42578125" customWidth="1"/>
  </cols>
  <sheetData>
    <row r="1" spans="1:31" x14ac:dyDescent="0.25">
      <c r="B1" t="s">
        <v>29</v>
      </c>
      <c r="C1" s="13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5"/>
    </row>
    <row r="2" spans="1:31" ht="26.25" x14ac:dyDescent="0.25">
      <c r="A2" s="67"/>
      <c r="B2" s="65" t="s">
        <v>20</v>
      </c>
      <c r="C2" s="41" t="s">
        <v>292</v>
      </c>
      <c r="D2" s="41" t="s">
        <v>182</v>
      </c>
      <c r="E2" s="41" t="s">
        <v>30</v>
      </c>
      <c r="F2" s="41" t="s">
        <v>31</v>
      </c>
      <c r="G2" s="41" t="s">
        <v>32</v>
      </c>
      <c r="H2" s="41" t="s">
        <v>33</v>
      </c>
      <c r="I2" s="41" t="s">
        <v>39</v>
      </c>
      <c r="J2" s="41" t="s">
        <v>293</v>
      </c>
      <c r="K2" s="41" t="s">
        <v>294</v>
      </c>
      <c r="L2" s="41" t="s">
        <v>179</v>
      </c>
      <c r="M2" s="41" t="s">
        <v>592</v>
      </c>
      <c r="N2" s="78" t="s">
        <v>41</v>
      </c>
      <c r="O2" s="78" t="s">
        <v>53</v>
      </c>
      <c r="P2" s="41" t="s">
        <v>0</v>
      </c>
      <c r="Q2" s="41" t="s">
        <v>40</v>
      </c>
      <c r="R2" s="41" t="s">
        <v>49</v>
      </c>
      <c r="S2" s="78" t="s">
        <v>236</v>
      </c>
      <c r="T2" s="78" t="s">
        <v>237</v>
      </c>
      <c r="U2" s="78" t="s">
        <v>238</v>
      </c>
      <c r="V2" s="78" t="s">
        <v>239</v>
      </c>
      <c r="W2" s="78" t="s">
        <v>240</v>
      </c>
      <c r="X2" s="78" t="s">
        <v>51</v>
      </c>
      <c r="Y2" s="78" t="s">
        <v>19</v>
      </c>
    </row>
    <row r="3" spans="1:31" x14ac:dyDescent="0.25">
      <c r="A3" s="67">
        <v>1</v>
      </c>
      <c r="B3" s="2" t="s">
        <v>472</v>
      </c>
      <c r="C3" s="16">
        <f>Лаб0!N29</f>
        <v>0</v>
      </c>
      <c r="D3" s="16">
        <f>Лаб1!AC29</f>
        <v>8.7515999999999998</v>
      </c>
      <c r="E3" s="16">
        <f>Лаб2!AB29</f>
        <v>8.3512500000000003</v>
      </c>
      <c r="F3" s="18">
        <f>Лаб3!Q29</f>
        <v>5.6684999999999999</v>
      </c>
      <c r="G3" s="18">
        <f>Лаб4!K29</f>
        <v>5.3899999999999988</v>
      </c>
      <c r="H3" s="18">
        <f>Лаб5!U29</f>
        <v>5.2889705882352942</v>
      </c>
      <c r="I3" s="18">
        <f>Лаб6!Q29</f>
        <v>4.95</v>
      </c>
      <c r="J3" s="18">
        <f>Лаб7!R29</f>
        <v>7.5</v>
      </c>
      <c r="K3" s="18"/>
      <c r="L3" s="18"/>
      <c r="M3" s="18">
        <v>40</v>
      </c>
      <c r="N3" s="19">
        <f>Посещаемость!BJ29</f>
        <v>0</v>
      </c>
      <c r="O3" s="82">
        <f>SUM(C3:M3)</f>
        <v>85.900320588235303</v>
      </c>
      <c r="P3" s="7">
        <f>SUM(C3:N3)</f>
        <v>85.900320588235303</v>
      </c>
      <c r="Q3" s="7"/>
      <c r="R3" s="63">
        <f>Посещаемость!BG29</f>
        <v>0</v>
      </c>
      <c r="S3" s="81">
        <f>$O3/S$66</f>
        <v>7.1583600490196089</v>
      </c>
      <c r="T3" s="81">
        <f>$O3/T$66</f>
        <v>3.7347965473145783</v>
      </c>
      <c r="U3" s="81">
        <f>$O3/U$66</f>
        <v>1.4316720098039217</v>
      </c>
      <c r="V3" s="40">
        <f>Посещаемость!BI29</f>
        <v>1</v>
      </c>
      <c r="W3" s="40">
        <f>O3/$D$71</f>
        <v>1.4316720098039217</v>
      </c>
      <c r="X3" s="64">
        <f>MAX(0,W3*0.8+0.2*V3)</f>
        <v>1.3453376078431374</v>
      </c>
      <c r="Y3" s="17" t="str">
        <f>GetMark($D$71,$D$70,$D$69,P3)</f>
        <v>Хорошо</v>
      </c>
    </row>
    <row r="4" spans="1:31" x14ac:dyDescent="0.25">
      <c r="A4" s="67">
        <v>2</v>
      </c>
      <c r="B4" s="2" t="s">
        <v>486</v>
      </c>
      <c r="C4" s="16">
        <f>Лаб0!N13</f>
        <v>0</v>
      </c>
      <c r="D4" s="16">
        <f>Лаб1!AC13</f>
        <v>7.7793000000000001</v>
      </c>
      <c r="E4" s="16">
        <f>Лаб2!AB13</f>
        <v>6.3570000000000002</v>
      </c>
      <c r="F4" s="18">
        <f>Лаб3!Q13</f>
        <v>5.1349999999999998</v>
      </c>
      <c r="G4" s="18">
        <f>Лаб4!K13</f>
        <v>6.18</v>
      </c>
      <c r="H4" s="18">
        <f>Лаб5!U13</f>
        <v>5.4411764705882355</v>
      </c>
      <c r="I4" s="18">
        <f>Лаб6!Q13</f>
        <v>7.1464285714285714</v>
      </c>
      <c r="J4" s="18">
        <f>Лаб7!R13</f>
        <v>6.2903571428571432</v>
      </c>
      <c r="K4" s="18"/>
      <c r="L4" s="18"/>
      <c r="M4" s="138">
        <v>38</v>
      </c>
      <c r="N4" s="19">
        <f>Посещаемость!BJ13</f>
        <v>2.1</v>
      </c>
      <c r="O4" s="82">
        <f>SUM(C4:M4)</f>
        <v>82.329262184873954</v>
      </c>
      <c r="P4" s="7">
        <f>SUM(C4:N4)</f>
        <v>84.429262184873949</v>
      </c>
      <c r="Q4" s="7"/>
      <c r="R4" s="63">
        <f>Посещаемость!BG13</f>
        <v>3</v>
      </c>
      <c r="S4" s="81">
        <f>$O4/S$66</f>
        <v>6.8607718487394962</v>
      </c>
      <c r="T4" s="81">
        <f>$O4/T$66</f>
        <v>3.5795331384727804</v>
      </c>
      <c r="U4" s="81">
        <f>$O4/U$66</f>
        <v>1.3721543697478993</v>
      </c>
      <c r="V4" s="40">
        <f>Посещаемость!BI13</f>
        <v>0.90625</v>
      </c>
      <c r="W4" s="40">
        <f>O4/$D$71</f>
        <v>1.3721543697478993</v>
      </c>
      <c r="X4" s="64">
        <f>MAX(0,W4*0.8+0.2*V4)</f>
        <v>1.2789734957983194</v>
      </c>
      <c r="Y4" s="17" t="str">
        <f>GetMark($D$71,$D$70,$D$69,P4)</f>
        <v>Хорошо</v>
      </c>
    </row>
    <row r="5" spans="1:31" x14ac:dyDescent="0.25">
      <c r="A5" s="67">
        <v>3</v>
      </c>
      <c r="B5" s="2" t="s">
        <v>473</v>
      </c>
      <c r="C5" s="16">
        <f>Лаб0!N16</f>
        <v>0</v>
      </c>
      <c r="D5" s="16">
        <f>Лаб1!AC16</f>
        <v>7.3736842105263154</v>
      </c>
      <c r="E5" s="16">
        <f>Лаб2!AB16</f>
        <v>6.5220000000000002</v>
      </c>
      <c r="F5" s="18">
        <f>Лаб3!Q16</f>
        <v>5.17</v>
      </c>
      <c r="G5" s="18">
        <f>Лаб4!K16</f>
        <v>4.2</v>
      </c>
      <c r="H5" s="18">
        <f>Лаб5!U16</f>
        <v>5.6051470588235297</v>
      </c>
      <c r="I5" s="18">
        <f>Лаб6!Q16</f>
        <v>6.0107142857142861</v>
      </c>
      <c r="J5" s="18">
        <f>Лаб7!R16</f>
        <v>6.375</v>
      </c>
      <c r="K5" s="18"/>
      <c r="L5" s="18"/>
      <c r="M5" s="18">
        <v>33</v>
      </c>
      <c r="N5" s="19">
        <f>Посещаемость!BJ16</f>
        <v>2.7</v>
      </c>
      <c r="O5" s="82">
        <f>SUM(C5:M5)</f>
        <v>74.256545555064122</v>
      </c>
      <c r="P5" s="7">
        <f>SUM(C5:N5)</f>
        <v>76.956545555064125</v>
      </c>
      <c r="Q5" s="7"/>
      <c r="R5" s="63">
        <f>Посещаемость!BG16</f>
        <v>0</v>
      </c>
      <c r="S5" s="81">
        <f>$O5/S$66</f>
        <v>6.1880454629220099</v>
      </c>
      <c r="T5" s="81">
        <f>$O5/T$66</f>
        <v>3.2285454589158316</v>
      </c>
      <c r="U5" s="81">
        <f>$O5/U$66</f>
        <v>1.2376090925844021</v>
      </c>
      <c r="V5" s="40">
        <f>Посещаемость!BI16</f>
        <v>1</v>
      </c>
      <c r="W5" s="40">
        <f>O5/$D$71</f>
        <v>1.2376090925844021</v>
      </c>
      <c r="X5" s="64">
        <f>MAX(0,W5*0.8+0.2*V5)</f>
        <v>1.1900872740675217</v>
      </c>
      <c r="Y5" s="17" t="str">
        <f>GetMark($D$71,$D$70,$D$69,P5)</f>
        <v>Хорошо</v>
      </c>
    </row>
    <row r="6" spans="1:31" x14ac:dyDescent="0.25">
      <c r="A6" s="67">
        <v>4</v>
      </c>
      <c r="B6" s="2" t="s">
        <v>484</v>
      </c>
      <c r="C6" s="16">
        <f>Лаб0!N11</f>
        <v>0</v>
      </c>
      <c r="D6" s="16">
        <f>Лаб1!AC11</f>
        <v>9.1812000000000005</v>
      </c>
      <c r="E6" s="16">
        <f>Лаб2!AB11</f>
        <v>7.2011250000000002</v>
      </c>
      <c r="F6" s="18">
        <f>Лаб3!Q11</f>
        <v>6.7920833333333333</v>
      </c>
      <c r="G6" s="18">
        <f>Лаб4!K11</f>
        <v>8.6035714285714278</v>
      </c>
      <c r="H6" s="18">
        <f>Лаб5!U11</f>
        <v>5.4627941176470589</v>
      </c>
      <c r="I6" s="18">
        <f>Лаб6!Q11</f>
        <v>6.3214285714285712</v>
      </c>
      <c r="J6" s="18">
        <f>Лаб7!R11</f>
        <v>6.7607142857142861</v>
      </c>
      <c r="K6" s="18"/>
      <c r="L6" s="18"/>
      <c r="M6" s="18">
        <v>20</v>
      </c>
      <c r="N6" s="19">
        <f>Посещаемость!BJ11</f>
        <v>2.9000000000000004</v>
      </c>
      <c r="O6" s="82">
        <f>SUM(C6:M6)</f>
        <v>70.32291673669468</v>
      </c>
      <c r="P6" s="7">
        <f>SUM(C6:N6)</f>
        <v>73.222916736694685</v>
      </c>
      <c r="Q6" s="7"/>
      <c r="R6" s="63">
        <f>Посещаемость!BG11</f>
        <v>0</v>
      </c>
      <c r="S6" s="81">
        <f>$O6/S$66</f>
        <v>5.8602430613912233</v>
      </c>
      <c r="T6" s="81">
        <f>$O6/T$66</f>
        <v>3.0575181189867253</v>
      </c>
      <c r="U6" s="81">
        <f>$O6/U$66</f>
        <v>1.1720486122782448</v>
      </c>
      <c r="V6" s="40">
        <f>Посещаемость!BI11</f>
        <v>1</v>
      </c>
      <c r="W6" s="40">
        <f>O6/$D$71</f>
        <v>1.1720486122782448</v>
      </c>
      <c r="X6" s="64">
        <f>MAX(0,W6*0.8+0.2*V6)</f>
        <v>1.1376388898225958</v>
      </c>
      <c r="Y6" s="17" t="str">
        <f>GetMark($D$71,$D$70,$D$69,P6)</f>
        <v>Удовлетворительно</v>
      </c>
    </row>
    <row r="7" spans="1:31" x14ac:dyDescent="0.25">
      <c r="A7" s="67">
        <v>5</v>
      </c>
      <c r="B7" s="2" t="s">
        <v>488</v>
      </c>
      <c r="C7" s="16">
        <f>Лаб0!N15</f>
        <v>0</v>
      </c>
      <c r="D7" s="16">
        <f>Лаб1!AC15</f>
        <v>8.0988000000000007</v>
      </c>
      <c r="E7" s="16">
        <f>Лаб2!AB15</f>
        <v>6.84</v>
      </c>
      <c r="F7" s="18">
        <f>Лаб3!Q15</f>
        <v>5.0019999999999998</v>
      </c>
      <c r="G7" s="18">
        <f>Лаб4!K15</f>
        <v>6.6192000000000002</v>
      </c>
      <c r="H7" s="18">
        <f>Лаб5!U15</f>
        <v>5.3489705882352938</v>
      </c>
      <c r="I7" s="18">
        <f>Лаб6!Q15</f>
        <v>6.1071428571428568</v>
      </c>
      <c r="J7" s="18">
        <f>Лаб7!R15</f>
        <v>1.125</v>
      </c>
      <c r="K7" s="18"/>
      <c r="L7" s="18"/>
      <c r="M7" s="18">
        <v>30</v>
      </c>
      <c r="N7" s="19">
        <f>Посещаемость!BJ15</f>
        <v>2.7</v>
      </c>
      <c r="O7" s="82">
        <f>SUM(C7:M7)</f>
        <v>69.141113445378153</v>
      </c>
      <c r="P7" s="7">
        <f>SUM(C7:N7)</f>
        <v>71.841113445378156</v>
      </c>
      <c r="Q7" s="7"/>
      <c r="R7" s="63">
        <f>Посещаемость!BG15</f>
        <v>0</v>
      </c>
      <c r="S7" s="81">
        <f>$O7/S$66</f>
        <v>5.7617594537815124</v>
      </c>
      <c r="T7" s="81">
        <f>$O7/T$66</f>
        <v>3.0061353671903546</v>
      </c>
      <c r="U7" s="81">
        <f>$O7/U$66</f>
        <v>1.1523518907563026</v>
      </c>
      <c r="V7" s="40">
        <f>Посещаемость!BI15</f>
        <v>1</v>
      </c>
      <c r="W7" s="40">
        <f>O7/$D$71</f>
        <v>1.1523518907563026</v>
      </c>
      <c r="X7" s="64">
        <f>MAX(0,W7*0.8+0.2*V7)</f>
        <v>1.1218815126050421</v>
      </c>
      <c r="Y7" s="17" t="str">
        <f>GetMark($D$71,$D$70,$D$69,P7)</f>
        <v>Удовлетворительно</v>
      </c>
    </row>
    <row r="8" spans="1:31" x14ac:dyDescent="0.25">
      <c r="A8" s="67">
        <v>6</v>
      </c>
      <c r="B8" s="2" t="s">
        <v>483</v>
      </c>
      <c r="C8" s="16">
        <f>Лаб0!N10</f>
        <v>0</v>
      </c>
      <c r="D8" s="16">
        <f>Лаб1!AC8</f>
        <v>6.4815789473684209</v>
      </c>
      <c r="E8" s="16">
        <f>Лаб2!AB8</f>
        <v>6.06</v>
      </c>
      <c r="F8" s="18">
        <f>Лаб3!Q8</f>
        <v>5.2679999999999998</v>
      </c>
      <c r="G8" s="18">
        <f>Лаб4!K8</f>
        <v>6.2160000000000002</v>
      </c>
      <c r="H8" s="18">
        <f>Лаб5!U8</f>
        <v>5.4102941176470587</v>
      </c>
      <c r="I8" s="18">
        <f>Лаб6!Q8</f>
        <v>9.3461538461538467</v>
      </c>
      <c r="J8" s="18">
        <f>Лаб7!R8</f>
        <v>6.9728571428571433</v>
      </c>
      <c r="K8" s="18"/>
      <c r="L8" s="18"/>
      <c r="M8" s="18">
        <v>23</v>
      </c>
      <c r="N8" s="19">
        <f>Посещаемость!BJ8</f>
        <v>1.9000000000000001</v>
      </c>
      <c r="O8" s="82">
        <f>SUM(C8:M8)</f>
        <v>68.754884054026462</v>
      </c>
      <c r="P8" s="7">
        <f>SUM(C8:N8)</f>
        <v>70.654884054026468</v>
      </c>
      <c r="Q8" s="7"/>
      <c r="R8" s="63">
        <f>Посещаемость!BG8</f>
        <v>2</v>
      </c>
      <c r="S8" s="81">
        <f>$O8/S$66</f>
        <v>5.7295736711688718</v>
      </c>
      <c r="T8" s="81">
        <f>$O8/T$66</f>
        <v>2.9893427849576724</v>
      </c>
      <c r="U8" s="81">
        <f>$O8/U$66</f>
        <v>1.1459147342337743</v>
      </c>
      <c r="V8" s="40">
        <f>Посещаемость!BI8</f>
        <v>0.9375</v>
      </c>
      <c r="W8" s="40">
        <f>O8/$D$71</f>
        <v>1.1459147342337743</v>
      </c>
      <c r="X8" s="64">
        <f>MAX(0,W8*0.8+0.2*V8)</f>
        <v>1.1042317873870195</v>
      </c>
      <c r="Y8" s="17" t="str">
        <f>GetMark($D$71,$D$70,$D$69,P8)</f>
        <v>Удовлетворительно</v>
      </c>
    </row>
    <row r="9" spans="1:31" x14ac:dyDescent="0.25">
      <c r="A9" s="67">
        <v>7</v>
      </c>
      <c r="B9" s="2" t="s">
        <v>492</v>
      </c>
      <c r="C9" s="16">
        <f>Лаб0!N23</f>
        <v>0</v>
      </c>
      <c r="D9" s="16">
        <f>Лаб1!AC23</f>
        <v>6.7894736842105265</v>
      </c>
      <c r="E9" s="16">
        <f>Лаб2!AB23</f>
        <v>6.3449999999999998</v>
      </c>
      <c r="F9" s="18">
        <f>Лаб3!Q23</f>
        <v>4.2</v>
      </c>
      <c r="G9" s="18">
        <f>Лаб4!K23</f>
        <v>3</v>
      </c>
      <c r="H9" s="18">
        <f>Лаб5!U23</f>
        <v>5.5316176470588232</v>
      </c>
      <c r="I9" s="18">
        <f>Лаб6!Q23</f>
        <v>7.0071428571428571</v>
      </c>
      <c r="J9" s="18">
        <f>Лаб7!R23</f>
        <v>6.5164285714285715</v>
      </c>
      <c r="K9" s="18"/>
      <c r="L9" s="18"/>
      <c r="M9" s="18">
        <v>29</v>
      </c>
      <c r="N9" s="19">
        <f>Посещаемость!BJ23</f>
        <v>2.6</v>
      </c>
      <c r="O9" s="82">
        <f>SUM(C9:M9)</f>
        <v>68.389662759840775</v>
      </c>
      <c r="P9" s="7">
        <f>SUM(C9:N9)</f>
        <v>70.989662759840769</v>
      </c>
      <c r="Q9" s="7"/>
      <c r="R9" s="63">
        <f>Посещаемость!BG23</f>
        <v>0</v>
      </c>
      <c r="S9" s="81">
        <f>$O9/S$66</f>
        <v>5.6991385633200649</v>
      </c>
      <c r="T9" s="81">
        <f>$O9/T$66</f>
        <v>2.9734635982539466</v>
      </c>
      <c r="U9" s="81">
        <f>$O9/U$66</f>
        <v>1.1398277126640128</v>
      </c>
      <c r="V9" s="40">
        <f>Посещаемость!BI23</f>
        <v>1</v>
      </c>
      <c r="W9" s="40">
        <f>O9/$D$71</f>
        <v>1.1398277126640128</v>
      </c>
      <c r="X9" s="64">
        <f>MAX(0,W9*0.8+0.2*V9)</f>
        <v>1.1118621701312104</v>
      </c>
      <c r="Y9" s="17" t="str">
        <f>GetMark($D$71,$D$70,$D$69,P9)</f>
        <v>Удовлетворительно</v>
      </c>
    </row>
    <row r="10" spans="1:31" x14ac:dyDescent="0.25">
      <c r="A10" s="67">
        <v>8</v>
      </c>
      <c r="B10" s="2" t="s">
        <v>481</v>
      </c>
      <c r="C10" s="16">
        <f>Лаб0!N8</f>
        <v>0</v>
      </c>
      <c r="D10" s="16">
        <f>Лаб1!AC9</f>
        <v>8.1192000000000011</v>
      </c>
      <c r="E10" s="16">
        <f>Лаб2!AB9</f>
        <v>6.6449999999999996</v>
      </c>
      <c r="F10" s="18">
        <f>Лаб3!Q9</f>
        <v>5.17</v>
      </c>
      <c r="G10" s="18">
        <f>Лаб4!K9</f>
        <v>6.0360000000000005</v>
      </c>
      <c r="H10" s="18">
        <f>Лаб5!U9</f>
        <v>5.5316176470588232</v>
      </c>
      <c r="I10" s="18">
        <f>Лаб6!Q9</f>
        <v>8.5442307692307686</v>
      </c>
      <c r="J10" s="18">
        <f>Лаб7!R9</f>
        <v>7.0907142857142862</v>
      </c>
      <c r="K10" s="18"/>
      <c r="L10" s="18"/>
      <c r="M10" s="18">
        <v>20</v>
      </c>
      <c r="N10" s="19">
        <f>Посещаемость!BJ9</f>
        <v>2.9000000000000004</v>
      </c>
      <c r="O10" s="82">
        <f>SUM(C10:M10)</f>
        <v>67.136762702003878</v>
      </c>
      <c r="P10" s="7">
        <f>SUM(C10:N10)</f>
        <v>70.036762702003884</v>
      </c>
      <c r="Q10" s="7"/>
      <c r="R10" s="63">
        <f>Посещаемость!BG9</f>
        <v>0</v>
      </c>
      <c r="S10" s="81">
        <f>$O10/S$66</f>
        <v>5.5947302251669901</v>
      </c>
      <c r="T10" s="81">
        <f>$O10/T$66</f>
        <v>2.9189896826958206</v>
      </c>
      <c r="U10" s="81">
        <f>$O10/U$66</f>
        <v>1.1189460450333979</v>
      </c>
      <c r="V10" s="40">
        <f>Посещаемость!BI9</f>
        <v>1</v>
      </c>
      <c r="W10" s="40">
        <f>O10/$D$71</f>
        <v>1.1189460450333979</v>
      </c>
      <c r="X10" s="64">
        <f>MAX(0,W10*0.8+0.2*V10)</f>
        <v>1.0951568360267183</v>
      </c>
      <c r="Y10" s="17" t="str">
        <f>GetMark($D$71,$D$70,$D$69,P10)</f>
        <v>Удовлетворительно</v>
      </c>
    </row>
    <row r="11" spans="1:31" x14ac:dyDescent="0.25">
      <c r="A11" s="67">
        <v>9</v>
      </c>
      <c r="B11" t="s">
        <v>449</v>
      </c>
      <c r="C11" s="16">
        <f>Лаб0!N5</f>
        <v>0</v>
      </c>
      <c r="D11" s="16">
        <f>Лаб1!AC5</f>
        <v>6.5384210526315787</v>
      </c>
      <c r="E11" s="16">
        <f>Лаб2!AB5</f>
        <v>6.0419999999999998</v>
      </c>
      <c r="F11" s="18">
        <f>Лаб3!Q5</f>
        <v>5.31</v>
      </c>
      <c r="G11" s="18">
        <f>Лаб4!K5</f>
        <v>6.4176000000000002</v>
      </c>
      <c r="H11" s="18">
        <f>Лаб5!U5</f>
        <v>5.5316176470588232</v>
      </c>
      <c r="I11" s="18">
        <f>Лаб6!Q5</f>
        <v>6.7607142857142861</v>
      </c>
      <c r="J11" s="18">
        <f>Лаб7!R5</f>
        <v>4.620000000000001</v>
      </c>
      <c r="K11" s="18"/>
      <c r="L11" s="18"/>
      <c r="M11" s="18">
        <v>20</v>
      </c>
      <c r="N11" s="19">
        <f>Посещаемость!BJ5</f>
        <v>2.7</v>
      </c>
      <c r="O11" s="82">
        <f>SUM(C11:M11)</f>
        <v>61.220352985404688</v>
      </c>
      <c r="P11" s="7">
        <f>SUM(C11:N11)</f>
        <v>63.920352985404691</v>
      </c>
      <c r="Q11" s="7"/>
      <c r="R11" s="63">
        <f>Посещаемость!BG5</f>
        <v>0</v>
      </c>
      <c r="S11" s="81">
        <f>$O11/S$66</f>
        <v>5.1016960821170576</v>
      </c>
      <c r="T11" s="81">
        <f>$O11/T$66</f>
        <v>2.6617544776262907</v>
      </c>
      <c r="U11" s="81">
        <f>$O11/U$66</f>
        <v>1.0203392164234115</v>
      </c>
      <c r="V11" s="40">
        <f>Посещаемость!BI5</f>
        <v>1</v>
      </c>
      <c r="W11" s="40">
        <f>O11/$D$71</f>
        <v>1.0203392164234115</v>
      </c>
      <c r="X11" s="64">
        <f>MAX(0,W11*0.8+0.2*V11)</f>
        <v>1.0162713731387292</v>
      </c>
      <c r="Y11" s="17" t="str">
        <f>GetMark($D$71,$D$70,$D$69,P11)</f>
        <v>Удовлетворительно</v>
      </c>
    </row>
    <row r="12" spans="1:31" x14ac:dyDescent="0.25">
      <c r="A12" s="67">
        <v>10</v>
      </c>
      <c r="B12" s="2" t="s">
        <v>489</v>
      </c>
      <c r="C12" s="16">
        <f>Лаб0!N18</f>
        <v>0</v>
      </c>
      <c r="D12" s="16">
        <f>Лаб1!AC18</f>
        <v>7.8216000000000001</v>
      </c>
      <c r="E12" s="16">
        <f>Лаб2!AB18</f>
        <v>6.0780000000000003</v>
      </c>
      <c r="F12" s="18">
        <f>Лаб3!Q18</f>
        <v>5.31</v>
      </c>
      <c r="G12" s="18">
        <f>Лаб4!K18</f>
        <v>8.25</v>
      </c>
      <c r="H12" s="18">
        <f>Лаб5!U18</f>
        <v>5.1897058823529409</v>
      </c>
      <c r="I12" s="18">
        <f>Лаб6!Q18</f>
        <v>5.7374999999999998</v>
      </c>
      <c r="J12" s="18">
        <f>Лаб7!R18</f>
        <v>2.52</v>
      </c>
      <c r="K12" s="18"/>
      <c r="L12" s="18"/>
      <c r="M12" s="18">
        <v>20</v>
      </c>
      <c r="N12" s="19">
        <f>Посещаемость!BJ18</f>
        <v>0.8</v>
      </c>
      <c r="O12" s="82">
        <f>SUM(C12:M12)</f>
        <v>60.906805882352941</v>
      </c>
      <c r="P12" s="7">
        <f>SUM(C12:N12)</f>
        <v>61.706805882352938</v>
      </c>
      <c r="Q12" s="7"/>
      <c r="R12" s="63">
        <f>Посещаемость!BG18</f>
        <v>5</v>
      </c>
      <c r="S12" s="81">
        <f>$O12/S$66</f>
        <v>5.0755671568627454</v>
      </c>
      <c r="T12" s="81">
        <f>$O12/T$66</f>
        <v>2.6481219948849106</v>
      </c>
      <c r="U12" s="81">
        <f>$O12/U$66</f>
        <v>1.0151134313725489</v>
      </c>
      <c r="V12" s="40">
        <f>Посещаемость!BI18</f>
        <v>0.84375</v>
      </c>
      <c r="W12" s="40">
        <f>O12/$D$71</f>
        <v>1.0151134313725489</v>
      </c>
      <c r="X12" s="64">
        <f>MAX(0,W12*0.8+0.2*V12)</f>
        <v>0.9808407450980392</v>
      </c>
      <c r="Y12" s="17" t="str">
        <f>GetMark($D$71,$D$70,$D$69,P12)</f>
        <v>Удовлетворительно</v>
      </c>
    </row>
    <row r="13" spans="1:31" x14ac:dyDescent="0.25">
      <c r="A13" s="67">
        <v>11</v>
      </c>
      <c r="B13" s="2" t="s">
        <v>478</v>
      </c>
      <c r="C13" s="16">
        <f>Лаб0!N4</f>
        <v>0</v>
      </c>
      <c r="D13" s="16">
        <f>Лаб1!AC4</f>
        <v>6.2842105263157899</v>
      </c>
      <c r="E13" s="16">
        <f>Лаб2!AB4</f>
        <v>6.1050000000000004</v>
      </c>
      <c r="F13" s="18">
        <f>Лаб3!Q4</f>
        <v>5.0439999999999996</v>
      </c>
      <c r="G13" s="18">
        <f>Лаб4!K4</f>
        <v>6.0431999999999997</v>
      </c>
      <c r="H13" s="18">
        <f>Лаб5!U4</f>
        <v>5.140735294117647</v>
      </c>
      <c r="I13" s="18">
        <f>Лаб6!Q4</f>
        <v>6.0696428571428571</v>
      </c>
      <c r="J13" s="18">
        <f>Лаб7!R4</f>
        <v>5.4</v>
      </c>
      <c r="K13" s="18"/>
      <c r="L13" s="18"/>
      <c r="M13" s="18">
        <v>20.6</v>
      </c>
      <c r="N13" s="19">
        <f>Посещаемость!BJ4</f>
        <v>0.4</v>
      </c>
      <c r="O13" s="82">
        <f>SUM(C13:M13)</f>
        <v>60.686788677576295</v>
      </c>
      <c r="P13" s="7">
        <f>SUM(C13:N13)</f>
        <v>61.086788677576294</v>
      </c>
      <c r="Q13" s="7"/>
      <c r="R13" s="63">
        <f>Посещаемость!BG4</f>
        <v>8</v>
      </c>
      <c r="S13" s="81">
        <f>$O13/S$66</f>
        <v>5.0572323897980249</v>
      </c>
      <c r="T13" s="81">
        <f>$O13/T$66</f>
        <v>2.6385560294598389</v>
      </c>
      <c r="U13" s="81">
        <f>$O13/U$66</f>
        <v>1.0114464779596049</v>
      </c>
      <c r="V13" s="40">
        <f>Посещаемость!BI4</f>
        <v>0.75</v>
      </c>
      <c r="W13" s="40">
        <f>O13/$D$71</f>
        <v>1.0114464779596049</v>
      </c>
      <c r="X13" s="64">
        <f>MAX(0,W13*0.8+0.2*V13)</f>
        <v>0.95915718236768399</v>
      </c>
      <c r="Y13" s="17" t="str">
        <f>GetMark($D$71,$D$70,$D$69,P13)</f>
        <v>Удовлетворительно</v>
      </c>
    </row>
    <row r="14" spans="1:31" x14ac:dyDescent="0.25">
      <c r="A14" s="67">
        <v>12</v>
      </c>
      <c r="B14" s="2" t="s">
        <v>495</v>
      </c>
      <c r="C14" s="16">
        <f>Лаб0!N27</f>
        <v>0</v>
      </c>
      <c r="D14" s="16">
        <f>Лаб1!AC27</f>
        <v>6.8889473684210527</v>
      </c>
      <c r="E14" s="16">
        <f>Лаб2!AB27</f>
        <v>5.532</v>
      </c>
      <c r="F14" s="18">
        <f>Лаб3!Q27</f>
        <v>5.0439999999999996</v>
      </c>
      <c r="G14" s="18">
        <f>Лаб4!K27</f>
        <v>7.7571428571428571</v>
      </c>
      <c r="H14" s="18">
        <f>Лаб5!U27</f>
        <v>5.2984558823529415</v>
      </c>
      <c r="I14" s="18">
        <f>Лаб6!Q27</f>
        <v>6.0107142857142861</v>
      </c>
      <c r="J14" s="18">
        <f>Лаб7!R27</f>
        <v>1.4850000000000001</v>
      </c>
      <c r="K14" s="18"/>
      <c r="L14" s="18"/>
      <c r="M14" s="18">
        <v>21.1</v>
      </c>
      <c r="N14" s="19">
        <f>Посещаемость!BJ27</f>
        <v>2.9000000000000004</v>
      </c>
      <c r="O14" s="82">
        <f>SUM(C14:M14)</f>
        <v>59.116260393631137</v>
      </c>
      <c r="P14" s="7">
        <f>SUM(C14:N14)</f>
        <v>62.016260393631136</v>
      </c>
      <c r="Q14" s="7"/>
      <c r="R14" s="63">
        <f>Посещаемость!BG27</f>
        <v>0</v>
      </c>
      <c r="S14" s="81">
        <f>$O14/S$66</f>
        <v>4.9263550328025945</v>
      </c>
      <c r="T14" s="81">
        <f>$O14/T$66</f>
        <v>2.5702721910274406</v>
      </c>
      <c r="U14" s="81">
        <f>$O14/U$66</f>
        <v>0.98527100656051891</v>
      </c>
      <c r="V14" s="40">
        <f>Посещаемость!BI27</f>
        <v>1</v>
      </c>
      <c r="W14" s="40">
        <f>O14/$D$71</f>
        <v>0.98527100656051891</v>
      </c>
      <c r="X14" s="64">
        <f>MAX(0,W14*0.8+0.2*V14)</f>
        <v>0.98821680524841526</v>
      </c>
      <c r="Y14" s="17" t="str">
        <f>GetMark($D$71,$D$70,$D$69,P14)</f>
        <v>Удовлетворительно</v>
      </c>
    </row>
    <row r="15" spans="1:31" x14ac:dyDescent="0.25">
      <c r="A15" s="67">
        <v>13</v>
      </c>
      <c r="B15" s="2" t="s">
        <v>497</v>
      </c>
      <c r="C15" s="16">
        <f>Лаб0!N30</f>
        <v>0</v>
      </c>
      <c r="D15" s="16">
        <f>Лаб1!AC30</f>
        <v>6.5810526315789479</v>
      </c>
      <c r="E15" s="16">
        <f>Лаб2!AB30</f>
        <v>6.0449999999999999</v>
      </c>
      <c r="F15" s="18">
        <f>Лаб3!Q30</f>
        <v>5.0860000000000003</v>
      </c>
      <c r="G15" s="18">
        <f>Лаб4!K30</f>
        <v>6</v>
      </c>
      <c r="H15" s="18">
        <f>Лаб5!U30</f>
        <v>5.4102941176470587</v>
      </c>
      <c r="I15" s="18">
        <f>Лаб6!Q30</f>
        <v>6.3053571428571429</v>
      </c>
      <c r="J15" s="18">
        <f>Лаб7!R30</f>
        <v>3.24</v>
      </c>
      <c r="K15" s="18"/>
      <c r="L15" s="18"/>
      <c r="M15" s="18">
        <v>20</v>
      </c>
      <c r="N15" s="19">
        <f>Посещаемость!BJ30</f>
        <v>1.5</v>
      </c>
      <c r="O15" s="82">
        <f>SUM(C15:M15)</f>
        <v>58.667703892083154</v>
      </c>
      <c r="P15" s="7">
        <f>SUM(C15:N15)</f>
        <v>60.167703892083154</v>
      </c>
      <c r="Q15" s="7"/>
      <c r="R15" s="63">
        <f>Посещаемость!BG30</f>
        <v>3</v>
      </c>
      <c r="S15" s="81">
        <f>$O15/S$66</f>
        <v>4.8889753243402625</v>
      </c>
      <c r="T15" s="81">
        <f>$O15/T$66</f>
        <v>2.5507697344383979</v>
      </c>
      <c r="U15" s="81">
        <f>$O15/U$66</f>
        <v>0.97779506486805257</v>
      </c>
      <c r="V15" s="40">
        <f>Посещаемость!BI30</f>
        <v>0.90625</v>
      </c>
      <c r="W15" s="40">
        <f>O15/$D$71</f>
        <v>0.97779506486805257</v>
      </c>
      <c r="X15" s="64">
        <f>MAX(0,W15*0.8+0.2*V15)</f>
        <v>0.96348605189444214</v>
      </c>
      <c r="Y15" s="17" t="str">
        <f>GetMark($D$71,$D$70,$D$69,P15)</f>
        <v>Удовлетворительно</v>
      </c>
    </row>
    <row r="16" spans="1:31" x14ac:dyDescent="0.25">
      <c r="A16" s="67">
        <v>14</v>
      </c>
      <c r="B16" s="2" t="s">
        <v>493</v>
      </c>
      <c r="C16" s="16">
        <f>Лаб0!N24</f>
        <v>0</v>
      </c>
      <c r="D16" s="16">
        <f>Лаб1!AC24</f>
        <v>7.2726315789473688</v>
      </c>
      <c r="E16" s="16">
        <f>Лаб2!AB24</f>
        <v>6.0990000000000002</v>
      </c>
      <c r="F16" s="18">
        <f>Лаб3!Q24</f>
        <v>5.367</v>
      </c>
      <c r="G16" s="18">
        <f>Лаб4!K24</f>
        <v>6.0395999999999992</v>
      </c>
      <c r="H16" s="18">
        <f>Лаб5!U24</f>
        <v>5.4345588235294118</v>
      </c>
      <c r="I16" s="18">
        <f>Лаб6!Q24</f>
        <v>4.95</v>
      </c>
      <c r="J16" s="18">
        <f>Лаб7!R24</f>
        <v>4.5</v>
      </c>
      <c r="K16" s="18"/>
      <c r="L16" s="18"/>
      <c r="M16" s="18"/>
      <c r="N16" s="19">
        <f>Посещаемость!BJ24</f>
        <v>2.5</v>
      </c>
      <c r="O16" s="82">
        <f>SUM(C16:M16)</f>
        <v>39.66279040247678</v>
      </c>
      <c r="P16" s="7">
        <f>SUM(C16:N16)</f>
        <v>42.16279040247678</v>
      </c>
      <c r="Q16" s="7"/>
      <c r="R16" s="63">
        <f>Посещаемость!BG24</f>
        <v>0</v>
      </c>
      <c r="S16" s="81">
        <f>$O16/S$66</f>
        <v>3.3052325335397317</v>
      </c>
      <c r="T16" s="81">
        <f>$O16/T$66</f>
        <v>1.724469147933773</v>
      </c>
      <c r="U16" s="81">
        <f>$O16/U$66</f>
        <v>0.66104650670794629</v>
      </c>
      <c r="V16" s="40">
        <f>Посещаемость!BI24</f>
        <v>1</v>
      </c>
      <c r="W16" s="40">
        <f>O16/$D$71</f>
        <v>0.66104650670794629</v>
      </c>
      <c r="X16" s="64">
        <f>MAX(0,W16*0.8+0.2*V16)</f>
        <v>0.72883720536635699</v>
      </c>
      <c r="Y16" s="17" t="str">
        <f>GetMark($D$71,$D$70,$D$69,P16)</f>
        <v>Неудовлетворительно</v>
      </c>
    </row>
    <row r="17" spans="1:25" x14ac:dyDescent="0.25">
      <c r="A17" s="67">
        <v>15</v>
      </c>
      <c r="B17" s="2" t="s">
        <v>466</v>
      </c>
      <c r="C17" s="16">
        <f>Лаб0!N3</f>
        <v>0</v>
      </c>
      <c r="D17" s="16">
        <f>Лаб1!AC3</f>
        <v>6.6710526315789478</v>
      </c>
      <c r="E17" s="16">
        <f>Лаб2!AB3</f>
        <v>6.4184999999999999</v>
      </c>
      <c r="F17" s="18">
        <f>Лаб3!Q3</f>
        <v>5.2889999999999997</v>
      </c>
      <c r="G17" s="18">
        <f>Лаб4!K3</f>
        <v>4.5359999999999996</v>
      </c>
      <c r="H17" s="18">
        <f>Лаб5!U3</f>
        <v>5.2955882352941179</v>
      </c>
      <c r="I17" s="18">
        <f>Лаб6!Q3</f>
        <v>4.05</v>
      </c>
      <c r="J17" s="18">
        <f>Лаб7!R3</f>
        <v>0</v>
      </c>
      <c r="K17" s="18"/>
      <c r="L17" s="18"/>
      <c r="M17" s="18"/>
      <c r="N17" s="19">
        <f>Посещаемость!BJ3</f>
        <v>2</v>
      </c>
      <c r="O17" s="82">
        <f>SUM(C17:M17)</f>
        <v>32.260140866873066</v>
      </c>
      <c r="P17" s="7">
        <f>SUM(C17:N17)</f>
        <v>34.260140866873066</v>
      </c>
      <c r="Q17" s="7"/>
      <c r="R17" s="63">
        <f>Посещаемость!BG3</f>
        <v>2</v>
      </c>
      <c r="S17" s="81">
        <f>$O17/S$66</f>
        <v>2.688345072239422</v>
      </c>
      <c r="T17" s="81">
        <f>$O17/T$66</f>
        <v>1.4026148202988289</v>
      </c>
      <c r="U17" s="81">
        <f>$O17/U$66</f>
        <v>0.5376690144478844</v>
      </c>
      <c r="V17" s="40">
        <f>Посещаемость!BI3</f>
        <v>0.9375</v>
      </c>
      <c r="W17" s="40">
        <f>O17/$D$71</f>
        <v>0.5376690144478844</v>
      </c>
      <c r="X17" s="64">
        <f>MAX(0,W17*0.8+0.2*V17)</f>
        <v>0.61763521155830747</v>
      </c>
      <c r="Y17" s="17" t="str">
        <f>GetMark($D$71,$D$70,$D$69,P17)</f>
        <v>Неудовлетворительно</v>
      </c>
    </row>
    <row r="18" spans="1:25" x14ac:dyDescent="0.25">
      <c r="A18" s="67">
        <v>16</v>
      </c>
      <c r="B18" s="2" t="s">
        <v>496</v>
      </c>
      <c r="C18" s="16">
        <f>Лаб0!N28</f>
        <v>0</v>
      </c>
      <c r="D18" s="16">
        <f>Лаб1!AC28</f>
        <v>6.3536842105263158</v>
      </c>
      <c r="E18" s="16">
        <f>Лаб2!AB28</f>
        <v>6.24</v>
      </c>
      <c r="F18" s="18">
        <f>Лаб3!Q28</f>
        <v>5.0019999999999998</v>
      </c>
      <c r="G18" s="18">
        <f>Лаб4!K28</f>
        <v>0</v>
      </c>
      <c r="H18" s="18">
        <f>Лаб5!U28</f>
        <v>5.4102941176470587</v>
      </c>
      <c r="I18" s="18">
        <f>Лаб6!Q28</f>
        <v>3.375</v>
      </c>
      <c r="J18" s="18">
        <f>Лаб7!R28</f>
        <v>3.9300000000000006</v>
      </c>
      <c r="K18" s="18"/>
      <c r="L18" s="18"/>
      <c r="M18" s="18"/>
      <c r="N18" s="19">
        <f>Посещаемость!BJ28</f>
        <v>2.3000000000000003</v>
      </c>
      <c r="O18" s="82">
        <f>SUM(C18:M18)</f>
        <v>30.310978328173373</v>
      </c>
      <c r="P18" s="7">
        <f>SUM(C18:N18)</f>
        <v>32.610978328173374</v>
      </c>
      <c r="Q18" s="7"/>
      <c r="R18" s="63">
        <f>Посещаемость!BG28</f>
        <v>0</v>
      </c>
      <c r="S18" s="81">
        <f>$O18/S$66</f>
        <v>2.5259148606811146</v>
      </c>
      <c r="T18" s="81">
        <f>$O18/T$66</f>
        <v>1.3178686229640597</v>
      </c>
      <c r="U18" s="81">
        <f>$O18/U$66</f>
        <v>0.50518297213622287</v>
      </c>
      <c r="V18" s="40">
        <f>Посещаемость!BI28</f>
        <v>1</v>
      </c>
      <c r="W18" s="40">
        <f>O18/$D$71</f>
        <v>0.50518297213622287</v>
      </c>
      <c r="X18" s="64">
        <f>MAX(0,W18*0.8+0.2*V18)</f>
        <v>0.60414637770897839</v>
      </c>
      <c r="Y18" s="17" t="str">
        <f>GetMark($D$71,$D$70,$D$69,P18)</f>
        <v>Неудовлетворительно</v>
      </c>
    </row>
    <row r="19" spans="1:25" x14ac:dyDescent="0.25">
      <c r="A19" s="67">
        <v>17</v>
      </c>
      <c r="B19" s="2" t="s">
        <v>485</v>
      </c>
      <c r="C19" s="16">
        <f>Лаб0!N12</f>
        <v>0</v>
      </c>
      <c r="D19" s="16">
        <f>Лаб1!AC12</f>
        <v>6.9592105263157897</v>
      </c>
      <c r="E19" s="16">
        <f>Лаб2!AB12</f>
        <v>6.2685000000000004</v>
      </c>
      <c r="F19" s="18">
        <f>Лаб3!Q12</f>
        <v>5.31</v>
      </c>
      <c r="G19" s="18">
        <f>Лаб4!K12</f>
        <v>0</v>
      </c>
      <c r="H19" s="18">
        <f>Лаб5!U12</f>
        <v>5.1808823529411763</v>
      </c>
      <c r="I19" s="18">
        <f>Лаб6!Q12</f>
        <v>0</v>
      </c>
      <c r="J19" s="18">
        <f>Лаб7!R12</f>
        <v>0</v>
      </c>
      <c r="K19" s="18"/>
      <c r="L19" s="18"/>
      <c r="M19" s="18"/>
      <c r="N19" s="19">
        <f>Посещаемость!BJ12</f>
        <v>2.2000000000000002</v>
      </c>
      <c r="O19" s="82">
        <f>SUM(C19:M19)</f>
        <v>23.718592879256963</v>
      </c>
      <c r="P19" s="7">
        <f>SUM(C19:N19)</f>
        <v>25.918592879256963</v>
      </c>
      <c r="Q19" s="7"/>
      <c r="R19" s="63">
        <f>Посещаемость!BG12</f>
        <v>1</v>
      </c>
      <c r="S19" s="81">
        <f>$O19/S$66</f>
        <v>1.9765494066047469</v>
      </c>
      <c r="T19" s="81">
        <f>$O19/T$66</f>
        <v>1.0312431686633463</v>
      </c>
      <c r="U19" s="81">
        <f>$O19/U$66</f>
        <v>0.39530988132094941</v>
      </c>
      <c r="V19" s="40">
        <f>Посещаемость!BI12</f>
        <v>0.96875</v>
      </c>
      <c r="W19" s="40">
        <f>O19/$D$71</f>
        <v>0.39530988132094941</v>
      </c>
      <c r="X19" s="64">
        <f>MAX(0,W19*0.8+0.2*V19)</f>
        <v>0.50999790505675957</v>
      </c>
      <c r="Y19" s="17" t="str">
        <f>GetMark($D$71,$D$70,$D$69,P19)</f>
        <v>Неудовлетворительно</v>
      </c>
    </row>
    <row r="20" spans="1:25" x14ac:dyDescent="0.25">
      <c r="A20" s="67">
        <v>18</v>
      </c>
      <c r="B20" s="2" t="s">
        <v>482</v>
      </c>
      <c r="C20" s="16">
        <f>Лаб0!N9</f>
        <v>0</v>
      </c>
      <c r="D20" s="16">
        <f>Лаб1!AC10</f>
        <v>5.6</v>
      </c>
      <c r="E20" s="16">
        <f>Лаб2!AB10</f>
        <v>6.1050000000000004</v>
      </c>
      <c r="F20" s="18">
        <f>Лаб3!Q10</f>
        <v>5.17</v>
      </c>
      <c r="G20" s="18">
        <f>Лаб4!K10</f>
        <v>0</v>
      </c>
      <c r="H20" s="18">
        <f>Лаб5!U10</f>
        <v>5.4102941176470587</v>
      </c>
      <c r="I20" s="18">
        <f>Лаб6!Q10</f>
        <v>0</v>
      </c>
      <c r="J20" s="18">
        <f>Лаб7!R10</f>
        <v>0</v>
      </c>
      <c r="K20" s="18"/>
      <c r="L20" s="18"/>
      <c r="M20" s="18"/>
      <c r="N20" s="19">
        <f>Посещаемость!BJ10</f>
        <v>1.7000000000000002</v>
      </c>
      <c r="O20" s="82">
        <f>SUM(C20:M20)</f>
        <v>22.285294117647059</v>
      </c>
      <c r="P20" s="7">
        <f>SUM(C20:N20)</f>
        <v>23.985294117647058</v>
      </c>
      <c r="Q20" s="7"/>
      <c r="R20" s="63">
        <f>Посещаемость!BG10</f>
        <v>2</v>
      </c>
      <c r="S20" s="81">
        <f>$O20/S$66</f>
        <v>1.857107843137255</v>
      </c>
      <c r="T20" s="81">
        <f>$O20/T$66</f>
        <v>0.96892583120204601</v>
      </c>
      <c r="U20" s="81">
        <f>$O20/U$66</f>
        <v>0.37142156862745096</v>
      </c>
      <c r="V20" s="40">
        <f>Посещаемость!BI10</f>
        <v>0.9375</v>
      </c>
      <c r="W20" s="40">
        <f>O20/$D$71</f>
        <v>0.37142156862745096</v>
      </c>
      <c r="X20" s="64">
        <f>MAX(0,W20*0.8+0.2*V20)</f>
        <v>0.4846372549019608</v>
      </c>
      <c r="Y20" s="17" t="str">
        <f>GetMark($D$71,$D$70,$D$69,P20)</f>
        <v>Неудовлетворительно</v>
      </c>
    </row>
    <row r="21" spans="1:25" x14ac:dyDescent="0.25">
      <c r="A21" s="67">
        <v>19</v>
      </c>
      <c r="B21" s="2" t="s">
        <v>480</v>
      </c>
      <c r="C21" s="16">
        <f>Лаб0!N7</f>
        <v>0</v>
      </c>
      <c r="D21" s="16">
        <f>Лаб1!AC7</f>
        <v>6.1973684210526319</v>
      </c>
      <c r="E21" s="16">
        <f>Лаб2!AB7</f>
        <v>6.06</v>
      </c>
      <c r="F21" s="18">
        <f>Лаб3!Q7</f>
        <v>0</v>
      </c>
      <c r="G21" s="18">
        <f>Лаб4!K7</f>
        <v>0</v>
      </c>
      <c r="H21" s="18">
        <f>Лаб5!U7</f>
        <v>4.68</v>
      </c>
      <c r="I21" s="18">
        <f>Лаб6!Q7</f>
        <v>0</v>
      </c>
      <c r="J21" s="18">
        <f>Лаб7!R7</f>
        <v>0</v>
      </c>
      <c r="K21" s="18"/>
      <c r="L21" s="18"/>
      <c r="M21" s="18"/>
      <c r="N21" s="19">
        <f>Посещаемость!BJ7</f>
        <v>1.6</v>
      </c>
      <c r="O21" s="82">
        <f>SUM(C21:M21)</f>
        <v>16.937368421052632</v>
      </c>
      <c r="P21" s="7">
        <f>SUM(C21:N21)</f>
        <v>18.537368421052633</v>
      </c>
      <c r="Q21" s="7"/>
      <c r="R21" s="63">
        <f>Посещаемость!BG7</f>
        <v>2</v>
      </c>
      <c r="S21" s="81">
        <f>$O21/S$66</f>
        <v>1.4114473684210527</v>
      </c>
      <c r="T21" s="81">
        <f>$O21/T$66</f>
        <v>0.73640732265446229</v>
      </c>
      <c r="U21" s="81">
        <f>$O21/U$66</f>
        <v>0.28228947368421053</v>
      </c>
      <c r="V21" s="40">
        <f>Посещаемость!BI7</f>
        <v>0.9375</v>
      </c>
      <c r="W21" s="40">
        <f>O21/$D$71</f>
        <v>0.28228947368421053</v>
      </c>
      <c r="X21" s="64">
        <f>MAX(0,W21*0.8+0.2*V21)</f>
        <v>0.41333157894736844</v>
      </c>
      <c r="Y21" s="17" t="str">
        <f>GetMark($D$71,$D$70,$D$69,P21)</f>
        <v>Неудовлетворительно</v>
      </c>
    </row>
    <row r="22" spans="1:25" x14ac:dyDescent="0.25">
      <c r="A22" s="67">
        <v>20</v>
      </c>
      <c r="B22" s="2" t="s">
        <v>490</v>
      </c>
      <c r="C22" s="16">
        <f>Лаб0!N20</f>
        <v>0</v>
      </c>
      <c r="D22" s="16">
        <f>Лаб1!AC20</f>
        <v>4.8</v>
      </c>
      <c r="E22" s="16">
        <f>Лаб2!AB20</f>
        <v>0</v>
      </c>
      <c r="F22" s="18">
        <f>Лаб3!Q20</f>
        <v>5.0650000000000004</v>
      </c>
      <c r="G22" s="18">
        <f>Лаб4!K20</f>
        <v>0</v>
      </c>
      <c r="H22" s="18">
        <f>Лаб5!U20</f>
        <v>0</v>
      </c>
      <c r="I22" s="18">
        <f>Лаб6!Q20</f>
        <v>0</v>
      </c>
      <c r="J22" s="18">
        <f>Лаб7!R20</f>
        <v>0</v>
      </c>
      <c r="K22" s="18"/>
      <c r="L22" s="18"/>
      <c r="M22" s="18"/>
      <c r="N22" s="19">
        <f>Посещаемость!BJ20</f>
        <v>-1.4000000000000001</v>
      </c>
      <c r="O22" s="82">
        <f>SUM(C22:M22)</f>
        <v>9.8650000000000002</v>
      </c>
      <c r="P22" s="7">
        <f>SUM(C22:N22)</f>
        <v>8.4649999999999999</v>
      </c>
      <c r="Q22" s="7"/>
      <c r="R22" s="63">
        <f>Посещаемость!BG20</f>
        <v>13</v>
      </c>
      <c r="S22" s="81">
        <f>$O22/S$66</f>
        <v>0.82208333333333339</v>
      </c>
      <c r="T22" s="81">
        <f>$O22/T$66</f>
        <v>0.42891304347826087</v>
      </c>
      <c r="U22" s="81">
        <f>$O22/U$66</f>
        <v>0.16441666666666668</v>
      </c>
      <c r="V22" s="40">
        <f>Посещаемость!BI20</f>
        <v>0.59375</v>
      </c>
      <c r="W22" s="40">
        <f>O22/$D$71</f>
        <v>0.16441666666666668</v>
      </c>
      <c r="X22" s="64">
        <f>MAX(0,W22*0.8+0.2*V22)</f>
        <v>0.25028333333333336</v>
      </c>
      <c r="Y22" s="17" t="str">
        <f>GetMark($D$71,$D$70,$D$69,P22)</f>
        <v>Неудовлетворительно</v>
      </c>
    </row>
    <row r="23" spans="1:25" x14ac:dyDescent="0.25">
      <c r="A23" s="67">
        <v>21</v>
      </c>
      <c r="B23" s="2" t="s">
        <v>479</v>
      </c>
      <c r="C23" s="16">
        <f>Лаб0!N6</f>
        <v>0</v>
      </c>
      <c r="D23" s="16">
        <f>Лаб1!AC6</f>
        <v>6.3947368421052628</v>
      </c>
      <c r="E23" s="16">
        <f>Лаб2!AB6</f>
        <v>0</v>
      </c>
      <c r="F23" s="18">
        <f>Лаб3!Q6</f>
        <v>0</v>
      </c>
      <c r="G23" s="18">
        <f>Лаб4!K6</f>
        <v>0</v>
      </c>
      <c r="H23" s="18">
        <f>Лаб5!U6</f>
        <v>0</v>
      </c>
      <c r="I23" s="18">
        <f>Лаб6!Q6</f>
        <v>0</v>
      </c>
      <c r="J23" s="18">
        <f>Лаб7!R6</f>
        <v>0</v>
      </c>
      <c r="K23" s="18"/>
      <c r="L23" s="18"/>
      <c r="M23" s="18"/>
      <c r="N23" s="19">
        <f>Посещаемость!BJ6</f>
        <v>1.7000000000000002</v>
      </c>
      <c r="O23" s="82">
        <f>SUM(C23:M23)</f>
        <v>6.3947368421052628</v>
      </c>
      <c r="P23" s="7">
        <f>SUM(C23:N23)</f>
        <v>8.094736842105263</v>
      </c>
      <c r="Q23" s="7"/>
      <c r="R23" s="63">
        <f>Посещаемость!BG6</f>
        <v>0</v>
      </c>
      <c r="S23" s="81">
        <f>$O23/S$66</f>
        <v>0.5328947368421052</v>
      </c>
      <c r="T23" s="81">
        <f>$O23/T$66</f>
        <v>0.2780320366132723</v>
      </c>
      <c r="U23" s="81">
        <f>$O23/U$66</f>
        <v>0.10657894736842105</v>
      </c>
      <c r="V23" s="40">
        <f>Посещаемость!BI6</f>
        <v>1</v>
      </c>
      <c r="W23" s="40">
        <f>O23/$D$71</f>
        <v>0.10657894736842105</v>
      </c>
      <c r="X23" s="64">
        <f>MAX(0,W23*0.8+0.2*V23)</f>
        <v>0.28526315789473689</v>
      </c>
      <c r="Y23" s="17" t="str">
        <f>GetMark($D$71,$D$70,$D$69,P23)</f>
        <v>Неудовлетворительно</v>
      </c>
    </row>
    <row r="24" spans="1:25" x14ac:dyDescent="0.25">
      <c r="A24" s="67">
        <v>22</v>
      </c>
      <c r="B24" s="2" t="s">
        <v>494</v>
      </c>
      <c r="C24" s="16">
        <f>Лаб0!N25</f>
        <v>0</v>
      </c>
      <c r="D24" s="16">
        <f>Лаб1!AC25</f>
        <v>6.1223684210526317</v>
      </c>
      <c r="E24" s="16">
        <f>Лаб2!AB25</f>
        <v>0</v>
      </c>
      <c r="F24" s="18">
        <f>Лаб3!Q25</f>
        <v>0</v>
      </c>
      <c r="G24" s="18">
        <f>Лаб4!K25</f>
        <v>0</v>
      </c>
      <c r="H24" s="18">
        <f>Лаб5!U25</f>
        <v>0</v>
      </c>
      <c r="I24" s="18">
        <f>Лаб6!Q25</f>
        <v>0</v>
      </c>
      <c r="J24" s="18">
        <f>Лаб7!R25</f>
        <v>0</v>
      </c>
      <c r="K24" s="18"/>
      <c r="L24" s="18"/>
      <c r="M24" s="18"/>
      <c r="N24" s="19">
        <f>Посещаемость!BJ25</f>
        <v>-2.9000000000000004</v>
      </c>
      <c r="O24" s="82">
        <f>SUM(C24:M24)</f>
        <v>6.1223684210526317</v>
      </c>
      <c r="P24" s="7">
        <f>SUM(C24:N24)</f>
        <v>3.2223684210526313</v>
      </c>
      <c r="Q24" s="7"/>
      <c r="R24" s="63">
        <f>Посещаемость!BG25</f>
        <v>19</v>
      </c>
      <c r="S24" s="81">
        <f>$O24/S$66</f>
        <v>0.51019736842105268</v>
      </c>
      <c r="T24" s="81">
        <f>$O24/T$66</f>
        <v>0.26618993135011443</v>
      </c>
      <c r="U24" s="81">
        <f>$O24/U$66</f>
        <v>0.10203947368421053</v>
      </c>
      <c r="V24" s="40">
        <f>Посещаемость!BI25</f>
        <v>0.40625</v>
      </c>
      <c r="W24" s="40">
        <f>O24/$D$71</f>
        <v>0.10203947368421053</v>
      </c>
      <c r="X24" s="64">
        <f>MAX(0,W24*0.8+0.2*V24)</f>
        <v>0.16288157894736843</v>
      </c>
      <c r="Y24" s="17" t="str">
        <f>GetMark($D$71,$D$70,$D$69,P24)</f>
        <v>Неудовлетворительно</v>
      </c>
    </row>
    <row r="25" spans="1:25" x14ac:dyDescent="0.25">
      <c r="A25" s="67">
        <v>23</v>
      </c>
      <c r="B25" s="2" t="s">
        <v>474</v>
      </c>
      <c r="C25" s="16">
        <f>Лаб0!N17</f>
        <v>0</v>
      </c>
      <c r="D25" s="16">
        <f>Лаб1!AC17</f>
        <v>4.8</v>
      </c>
      <c r="E25" s="16">
        <f>Лаб2!AB17</f>
        <v>0</v>
      </c>
      <c r="F25" s="18">
        <f>Лаб3!Q17</f>
        <v>0</v>
      </c>
      <c r="G25" s="18">
        <f>Лаб4!K17</f>
        <v>0</v>
      </c>
      <c r="H25" s="18">
        <f>Лаб5!U17</f>
        <v>0</v>
      </c>
      <c r="I25" s="18">
        <f>Лаб6!Q17</f>
        <v>0</v>
      </c>
      <c r="J25" s="18">
        <f>Лаб7!R17</f>
        <v>0</v>
      </c>
      <c r="K25" s="18"/>
      <c r="L25" s="18"/>
      <c r="M25" s="18"/>
      <c r="N25" s="19">
        <f>Посещаемость!BJ17</f>
        <v>0.1</v>
      </c>
      <c r="O25" s="82">
        <f>SUM(C25:M25)</f>
        <v>4.8</v>
      </c>
      <c r="P25" s="7">
        <f>SUM(C25:N25)</f>
        <v>4.8999999999999995</v>
      </c>
      <c r="Q25" s="7"/>
      <c r="R25" s="63">
        <f>Посещаемость!BG17</f>
        <v>8</v>
      </c>
      <c r="S25" s="81">
        <f>$O25/S$66</f>
        <v>0.39999999999999997</v>
      </c>
      <c r="T25" s="81">
        <f>$O25/T$66</f>
        <v>0.20869565217391303</v>
      </c>
      <c r="U25" s="81">
        <f>$O25/U$66</f>
        <v>0.08</v>
      </c>
      <c r="V25" s="40">
        <f>Посещаемость!BI17</f>
        <v>0.75</v>
      </c>
      <c r="W25" s="40">
        <f>O25/$D$71</f>
        <v>0.08</v>
      </c>
      <c r="X25" s="64">
        <f>MAX(0,W25*0.8+0.2*V25)</f>
        <v>0.21400000000000002</v>
      </c>
      <c r="Y25" s="17" t="str">
        <f>GetMark($D$71,$D$70,$D$69,P25)</f>
        <v>Неудовлетворительно</v>
      </c>
    </row>
    <row r="26" spans="1:25" x14ac:dyDescent="0.25">
      <c r="A26" s="67">
        <v>24</v>
      </c>
      <c r="B26" s="2" t="s">
        <v>491</v>
      </c>
      <c r="C26" s="16">
        <f>Лаб0!N21</f>
        <v>0</v>
      </c>
      <c r="D26" s="16">
        <f>Лаб1!AC21</f>
        <v>3</v>
      </c>
      <c r="E26" s="16">
        <f>Лаб2!AB21</f>
        <v>0</v>
      </c>
      <c r="F26" s="18">
        <f>Лаб3!Q21</f>
        <v>0</v>
      </c>
      <c r="G26" s="18">
        <f>Лаб4!K21</f>
        <v>0</v>
      </c>
      <c r="H26" s="18">
        <f>Лаб5!U21</f>
        <v>0</v>
      </c>
      <c r="I26" s="18">
        <f>Лаб6!Q21</f>
        <v>0</v>
      </c>
      <c r="J26" s="18">
        <f>Лаб7!R21</f>
        <v>0</v>
      </c>
      <c r="K26" s="18"/>
      <c r="L26" s="18"/>
      <c r="M26" s="18"/>
      <c r="N26" s="19">
        <f>Посещаемость!BJ21</f>
        <v>1.3</v>
      </c>
      <c r="O26" s="82">
        <f>SUM(C26:M26)</f>
        <v>3</v>
      </c>
      <c r="P26" s="7">
        <f>SUM(C26:N26)</f>
        <v>4.3</v>
      </c>
      <c r="Q26" s="7"/>
      <c r="R26" s="63">
        <f>Посещаемость!BG21</f>
        <v>1</v>
      </c>
      <c r="S26" s="81">
        <f>$O26/S$66</f>
        <v>0.25</v>
      </c>
      <c r="T26" s="81">
        <f>$O26/T$66</f>
        <v>0.13043478260869565</v>
      </c>
      <c r="U26" s="81">
        <f>$O26/U$66</f>
        <v>0.05</v>
      </c>
      <c r="V26" s="40">
        <f>Посещаемость!BI21</f>
        <v>0.96875</v>
      </c>
      <c r="W26" s="40">
        <f>O26/$D$71</f>
        <v>0.05</v>
      </c>
      <c r="X26" s="64">
        <f>MAX(0,W26*0.8+0.2*V26)</f>
        <v>0.23375000000000001</v>
      </c>
      <c r="Y26" s="17" t="str">
        <f>GetMark($D$71,$D$70,$D$69,P26)</f>
        <v>Неудовлетворительно</v>
      </c>
    </row>
    <row r="27" spans="1:25" x14ac:dyDescent="0.25">
      <c r="A27" s="67">
        <v>25</v>
      </c>
      <c r="B27" s="2" t="s">
        <v>487</v>
      </c>
      <c r="C27" s="16">
        <f>Лаб0!N14</f>
        <v>0</v>
      </c>
      <c r="D27" s="16">
        <f>Лаб1!AC14</f>
        <v>0</v>
      </c>
      <c r="E27" s="16">
        <f>Лаб2!AB14</f>
        <v>0</v>
      </c>
      <c r="F27" s="18">
        <f>Лаб3!Q14</f>
        <v>0</v>
      </c>
      <c r="G27" s="18">
        <f>Лаб4!K14</f>
        <v>0</v>
      </c>
      <c r="H27" s="18">
        <f>Лаб5!U14</f>
        <v>0</v>
      </c>
      <c r="I27" s="18">
        <f>Лаб6!Q14</f>
        <v>0</v>
      </c>
      <c r="J27" s="18">
        <f>Лаб7!R14</f>
        <v>0</v>
      </c>
      <c r="K27" s="18"/>
      <c r="L27" s="18"/>
      <c r="M27" s="18"/>
      <c r="N27" s="19">
        <f>Посещаемость!BJ14</f>
        <v>-4.8000000000000007</v>
      </c>
      <c r="O27" s="82">
        <f>SUM(C27:M27)</f>
        <v>0</v>
      </c>
      <c r="P27" s="7">
        <f>SUM(C27:N27)</f>
        <v>-4.8000000000000007</v>
      </c>
      <c r="Q27" s="7"/>
      <c r="R27" s="63">
        <f>Посещаемость!BG14</f>
        <v>26</v>
      </c>
      <c r="S27" s="81">
        <f>$O27/S$66</f>
        <v>0</v>
      </c>
      <c r="T27" s="81">
        <f>$O27/T$66</f>
        <v>0</v>
      </c>
      <c r="U27" s="81">
        <f>$O27/U$66</f>
        <v>0</v>
      </c>
      <c r="V27" s="40">
        <f>Посещаемость!BI14</f>
        <v>0.1875</v>
      </c>
      <c r="W27" s="40">
        <f>O27/$D$71</f>
        <v>0</v>
      </c>
      <c r="X27" s="64">
        <f>MAX(0,W27*0.8+0.2*V27)</f>
        <v>3.7500000000000006E-2</v>
      </c>
      <c r="Y27" s="17" t="str">
        <f>GetMark($D$71,$D$70,$D$69,P27)</f>
        <v>Неудовлетворительно</v>
      </c>
    </row>
    <row r="28" spans="1:25" x14ac:dyDescent="0.25">
      <c r="A28" s="67">
        <v>26</v>
      </c>
      <c r="B28" s="2" t="s">
        <v>475</v>
      </c>
      <c r="C28" s="16">
        <f>Лаб0!N19</f>
        <v>0</v>
      </c>
      <c r="D28" s="16">
        <f>Лаб1!AC19</f>
        <v>0</v>
      </c>
      <c r="E28" s="16">
        <f>Лаб2!AB19</f>
        <v>0</v>
      </c>
      <c r="F28" s="18">
        <f>Лаб3!Q19</f>
        <v>0</v>
      </c>
      <c r="G28" s="18">
        <f>Лаб4!K19</f>
        <v>0</v>
      </c>
      <c r="H28" s="18">
        <f>Лаб5!U19</f>
        <v>0</v>
      </c>
      <c r="I28" s="18">
        <f>Лаб6!Q19</f>
        <v>0</v>
      </c>
      <c r="J28" s="18">
        <f>Лаб7!R19</f>
        <v>0</v>
      </c>
      <c r="K28" s="18"/>
      <c r="L28" s="18"/>
      <c r="M28" s="18"/>
      <c r="N28" s="19">
        <f>Посещаемость!BJ19</f>
        <v>-2.7</v>
      </c>
      <c r="O28" s="82">
        <f>SUM(C28:M28)</f>
        <v>0</v>
      </c>
      <c r="P28" s="7">
        <f>SUM(C28:N28)</f>
        <v>-2.7</v>
      </c>
      <c r="Q28" s="7"/>
      <c r="R28" s="63">
        <f>Посещаемость!BG19</f>
        <v>19</v>
      </c>
      <c r="S28" s="81">
        <f>$O28/S$66</f>
        <v>0</v>
      </c>
      <c r="T28" s="81">
        <f>$O28/T$66</f>
        <v>0</v>
      </c>
      <c r="U28" s="81">
        <f>$O28/U$66</f>
        <v>0</v>
      </c>
      <c r="V28" s="40">
        <f>Посещаемость!BI19</f>
        <v>0.40625</v>
      </c>
      <c r="W28" s="40">
        <f>O28/$D$71</f>
        <v>0</v>
      </c>
      <c r="X28" s="64">
        <f>MAX(0,W28*0.8+0.2*V28)</f>
        <v>8.1250000000000003E-2</v>
      </c>
      <c r="Y28" s="17" t="str">
        <f>GetMark($D$71,$D$70,$D$69,P28)</f>
        <v>Неудовлетворительно</v>
      </c>
    </row>
    <row r="29" spans="1:25" x14ac:dyDescent="0.25">
      <c r="A29" s="67">
        <v>27</v>
      </c>
      <c r="B29" s="2" t="s">
        <v>477</v>
      </c>
      <c r="C29" s="16">
        <f>Лаб0!N22</f>
        <v>0</v>
      </c>
      <c r="D29" s="16">
        <f>Лаб1!AC22</f>
        <v>0</v>
      </c>
      <c r="E29" s="16">
        <f>Лаб2!AB22</f>
        <v>0</v>
      </c>
      <c r="F29" s="18">
        <f>Лаб3!Q22</f>
        <v>0</v>
      </c>
      <c r="G29" s="18">
        <f>Лаб4!K22</f>
        <v>0</v>
      </c>
      <c r="H29" s="18">
        <f>Лаб5!U22</f>
        <v>0</v>
      </c>
      <c r="I29" s="18">
        <f>Лаб6!Q22</f>
        <v>0</v>
      </c>
      <c r="J29" s="18">
        <f>Лаб7!R22</f>
        <v>0</v>
      </c>
      <c r="K29" s="18"/>
      <c r="L29" s="18"/>
      <c r="M29" s="18"/>
      <c r="N29" s="19">
        <f>Посещаемость!BJ22</f>
        <v>-2.8000000000000003</v>
      </c>
      <c r="O29" s="82">
        <f>SUM(C29:M29)</f>
        <v>0</v>
      </c>
      <c r="P29" s="7">
        <f>SUM(C29:N29)</f>
        <v>-2.8000000000000003</v>
      </c>
      <c r="Q29" s="7"/>
      <c r="R29" s="63">
        <f>Посещаемость!BG22</f>
        <v>20</v>
      </c>
      <c r="S29" s="81">
        <f>$O29/S$66</f>
        <v>0</v>
      </c>
      <c r="T29" s="81">
        <f>$O29/T$66</f>
        <v>0</v>
      </c>
      <c r="U29" s="81">
        <f>$O29/U$66</f>
        <v>0</v>
      </c>
      <c r="V29" s="40">
        <f>Посещаемость!BI22</f>
        <v>0.375</v>
      </c>
      <c r="W29" s="40">
        <f>O29/$D$71</f>
        <v>0</v>
      </c>
      <c r="X29" s="64">
        <f>MAX(0,W29*0.8+0.2*V29)</f>
        <v>7.5000000000000011E-2</v>
      </c>
      <c r="Y29" s="17" t="str">
        <f>GetMark($D$71,$D$70,$D$69,P29)</f>
        <v>Неудовлетворительно</v>
      </c>
    </row>
    <row r="30" spans="1:25" x14ac:dyDescent="0.25">
      <c r="A30" s="67">
        <v>28</v>
      </c>
      <c r="B30" s="2" t="s">
        <v>476</v>
      </c>
      <c r="C30" s="16">
        <f>Лаб0!N26</f>
        <v>0</v>
      </c>
      <c r="D30" s="16">
        <f>Лаб1!AC26</f>
        <v>0</v>
      </c>
      <c r="E30" s="16">
        <f>Лаб2!AB26</f>
        <v>0</v>
      </c>
      <c r="F30" s="18">
        <f>Лаб3!Q26</f>
        <v>0</v>
      </c>
      <c r="G30" s="18">
        <f>Лаб4!K26</f>
        <v>0</v>
      </c>
      <c r="H30" s="18">
        <f>Лаб5!U26</f>
        <v>0</v>
      </c>
      <c r="I30" s="18">
        <f>Лаб6!Q26</f>
        <v>0</v>
      </c>
      <c r="J30" s="18">
        <f>Лаб7!R26</f>
        <v>0</v>
      </c>
      <c r="K30" s="18"/>
      <c r="L30" s="18"/>
      <c r="M30" s="18"/>
      <c r="N30" s="19">
        <f>Посещаемость!BJ26</f>
        <v>-2.3000000000000003</v>
      </c>
      <c r="O30" s="82">
        <f>SUM(C30:M30)</f>
        <v>0</v>
      </c>
      <c r="P30" s="7">
        <f>SUM(C30:N30)</f>
        <v>-2.3000000000000003</v>
      </c>
      <c r="Q30" s="7"/>
      <c r="R30" s="63">
        <f>Посещаемость!BG26</f>
        <v>16</v>
      </c>
      <c r="S30" s="81">
        <f>$O30/S$66</f>
        <v>0</v>
      </c>
      <c r="T30" s="81">
        <f>$O30/T$66</f>
        <v>0</v>
      </c>
      <c r="U30" s="81">
        <f>$O30/U$66</f>
        <v>0</v>
      </c>
      <c r="V30" s="40">
        <f>Посещаемость!BI26</f>
        <v>0.5</v>
      </c>
      <c r="W30" s="40">
        <f>O30/$D$71</f>
        <v>0</v>
      </c>
      <c r="X30" s="64">
        <f>MAX(0,W30*0.8+0.2*V30)</f>
        <v>0.1</v>
      </c>
      <c r="Y30" s="17" t="str">
        <f>GetMark($D$71,$D$70,$D$69,P30)</f>
        <v>Неудовлетворительно</v>
      </c>
    </row>
    <row r="31" spans="1:25" x14ac:dyDescent="0.25">
      <c r="A31" s="67">
        <v>29</v>
      </c>
      <c r="B31" s="124"/>
      <c r="C31" s="16">
        <f>Лаб0!N31</f>
        <v>0</v>
      </c>
      <c r="D31" s="16">
        <f>Лаб1!AC31</f>
        <v>0</v>
      </c>
      <c r="E31" s="16">
        <f>Лаб2!AB31</f>
        <v>0</v>
      </c>
      <c r="F31" s="18">
        <f>Лаб3!Q31</f>
        <v>0</v>
      </c>
      <c r="G31" s="18">
        <f>Лаб4!K31</f>
        <v>0</v>
      </c>
      <c r="H31" s="18">
        <f>Лаб5!U31</f>
        <v>0</v>
      </c>
      <c r="I31" s="18">
        <f>Лаб6!Q31</f>
        <v>0</v>
      </c>
      <c r="J31" s="18">
        <f>Лаб7!R31</f>
        <v>0</v>
      </c>
      <c r="K31" s="18"/>
      <c r="L31" s="18"/>
      <c r="M31" s="18"/>
      <c r="N31" s="19">
        <f>Посещаемость!BJ31</f>
        <v>0</v>
      </c>
      <c r="O31" s="82">
        <f>SUM(C31:M31)</f>
        <v>0</v>
      </c>
      <c r="P31" s="7">
        <f>SUM(C31:N31)</f>
        <v>0</v>
      </c>
      <c r="Q31" s="7"/>
      <c r="R31" s="63">
        <f>Посещаемость!BG31</f>
        <v>0</v>
      </c>
      <c r="S31" s="81">
        <f>$O31/S$66</f>
        <v>0</v>
      </c>
      <c r="T31" s="81">
        <f>$O31/T$66</f>
        <v>0</v>
      </c>
      <c r="U31" s="81">
        <f>$O31/U$66</f>
        <v>0</v>
      </c>
      <c r="V31" s="40">
        <f>Посещаемость!BI31</f>
        <v>0</v>
      </c>
      <c r="W31" s="40">
        <f>O31/$D$71</f>
        <v>0</v>
      </c>
      <c r="X31" s="64">
        <f>MAX(0,W31*0.8+0.2*V31)</f>
        <v>0</v>
      </c>
      <c r="Y31" s="17" t="str">
        <f>GetMark($D$71,$D$70,$D$69,P31)</f>
        <v>Неудовлетворительно</v>
      </c>
    </row>
    <row r="32" spans="1:25" x14ac:dyDescent="0.25">
      <c r="A32" s="67">
        <v>30</v>
      </c>
      <c r="B32" s="124"/>
      <c r="C32" s="16">
        <f>Лаб0!N32</f>
        <v>0</v>
      </c>
      <c r="D32" s="16">
        <f>Лаб1!AC32</f>
        <v>0</v>
      </c>
      <c r="E32" s="16">
        <f>Лаб2!AB32</f>
        <v>0</v>
      </c>
      <c r="F32" s="18">
        <f>Лаб3!Q32</f>
        <v>0</v>
      </c>
      <c r="G32" s="18">
        <f>Лаб4!K32</f>
        <v>0</v>
      </c>
      <c r="H32" s="18">
        <f>Лаб5!U32</f>
        <v>0</v>
      </c>
      <c r="I32" s="18">
        <f>Лаб6!Q32</f>
        <v>0</v>
      </c>
      <c r="J32" s="18">
        <f>Лаб7!R32</f>
        <v>0</v>
      </c>
      <c r="K32" s="18"/>
      <c r="L32" s="18"/>
      <c r="M32" s="18"/>
      <c r="N32" s="19">
        <f>Посещаемость!BJ32</f>
        <v>0</v>
      </c>
      <c r="O32" s="82">
        <f>SUM(C32:M32)</f>
        <v>0</v>
      </c>
      <c r="P32" s="7">
        <f>SUM(C32:N32)</f>
        <v>0</v>
      </c>
      <c r="Q32" s="7"/>
      <c r="R32" s="63">
        <f>Посещаемость!BG32</f>
        <v>0</v>
      </c>
      <c r="S32" s="81">
        <f>$O32/S$66</f>
        <v>0</v>
      </c>
      <c r="T32" s="81">
        <f>$O32/T$66</f>
        <v>0</v>
      </c>
      <c r="U32" s="81">
        <f>$O32/U$66</f>
        <v>0</v>
      </c>
      <c r="V32" s="40">
        <f>Посещаемость!BI32</f>
        <v>0</v>
      </c>
      <c r="W32" s="40">
        <f>O32/$D$71</f>
        <v>0</v>
      </c>
      <c r="X32" s="64">
        <f>MAX(0,W32*0.8+0.2*V32)</f>
        <v>0</v>
      </c>
      <c r="Y32" s="17" t="str">
        <f>GetMark($D$71,$D$70,$D$69,P32)</f>
        <v>Неудовлетворительно</v>
      </c>
    </row>
    <row r="33" spans="1:25" ht="26.25" x14ac:dyDescent="0.25">
      <c r="A33" s="67"/>
      <c r="B33" s="65" t="s">
        <v>124</v>
      </c>
      <c r="C33" s="41" t="s">
        <v>292</v>
      </c>
      <c r="D33" s="41" t="s">
        <v>182</v>
      </c>
      <c r="E33" s="41" t="s">
        <v>30</v>
      </c>
      <c r="F33" s="41" t="s">
        <v>31</v>
      </c>
      <c r="G33" s="41" t="s">
        <v>32</v>
      </c>
      <c r="H33" s="41" t="s">
        <v>33</v>
      </c>
      <c r="I33" s="41" t="s">
        <v>39</v>
      </c>
      <c r="J33" s="41" t="s">
        <v>293</v>
      </c>
      <c r="K33" s="41" t="s">
        <v>294</v>
      </c>
      <c r="L33" s="41" t="s">
        <v>179</v>
      </c>
      <c r="M33" s="41" t="s">
        <v>592</v>
      </c>
      <c r="N33" s="78" t="s">
        <v>41</v>
      </c>
      <c r="O33" s="78" t="s">
        <v>53</v>
      </c>
      <c r="P33" s="41" t="s">
        <v>0</v>
      </c>
      <c r="Q33" s="41" t="s">
        <v>40</v>
      </c>
      <c r="R33" s="41" t="s">
        <v>49</v>
      </c>
      <c r="S33" s="78" t="s">
        <v>236</v>
      </c>
      <c r="T33" s="78" t="s">
        <v>237</v>
      </c>
      <c r="U33" s="78" t="s">
        <v>238</v>
      </c>
      <c r="V33" s="78" t="s">
        <v>239</v>
      </c>
      <c r="W33" s="78" t="s">
        <v>240</v>
      </c>
      <c r="X33" s="78" t="s">
        <v>51</v>
      </c>
      <c r="Y33" s="78" t="s">
        <v>19</v>
      </c>
    </row>
    <row r="34" spans="1:25" x14ac:dyDescent="0.25">
      <c r="A34" s="67">
        <v>1</v>
      </c>
      <c r="B34" s="2" t="s">
        <v>448</v>
      </c>
      <c r="C34" s="16">
        <f>Лаб0!N60</f>
        <v>0</v>
      </c>
      <c r="D34" s="16">
        <f>Лаб1!AC60</f>
        <v>8.0244</v>
      </c>
      <c r="E34" s="16">
        <f>Лаб2!AB60</f>
        <v>6.8294999999999995</v>
      </c>
      <c r="F34" s="18">
        <f>Лаб3!Q60</f>
        <v>5.31</v>
      </c>
      <c r="G34" s="18">
        <f>Лаб4!K60</f>
        <v>5.5440000000000005</v>
      </c>
      <c r="H34" s="18">
        <f>Лаб5!U60</f>
        <v>5.2580882352941174</v>
      </c>
      <c r="I34" s="18">
        <f>Лаб6!Q60</f>
        <v>4.5</v>
      </c>
      <c r="J34" s="18">
        <f>Лаб7!R60</f>
        <v>4.29</v>
      </c>
      <c r="K34" s="18"/>
      <c r="L34" s="18"/>
      <c r="M34" s="18">
        <v>20</v>
      </c>
      <c r="N34" s="19">
        <f>Посещаемость!BJ60</f>
        <v>1.8</v>
      </c>
      <c r="O34" s="82">
        <f>SUM(C34:M34)</f>
        <v>59.755988235294119</v>
      </c>
      <c r="P34" s="7">
        <f>SUM(C34:N34)</f>
        <v>61.555988235294116</v>
      </c>
      <c r="Q34" s="7"/>
      <c r="R34" s="63">
        <f>Посещаемость!BG60</f>
        <v>3</v>
      </c>
      <c r="S34" s="81">
        <f>$O34/S$66</f>
        <v>4.9796656862745099</v>
      </c>
      <c r="T34" s="81">
        <f>$O34/T$66</f>
        <v>2.5980864450127878</v>
      </c>
      <c r="U34" s="81">
        <f>$O34/U$66</f>
        <v>0.99593313725490196</v>
      </c>
      <c r="V34" s="40">
        <f>Посещаемость!BI60</f>
        <v>0.90625</v>
      </c>
      <c r="W34" s="40">
        <f>O34/$D$71</f>
        <v>0.99593313725490196</v>
      </c>
      <c r="X34" s="64">
        <f>MAX(0,W34*0.8+0.2*V34)</f>
        <v>0.97799650980392161</v>
      </c>
      <c r="Y34" s="17" t="str">
        <f>GetMark($D$71,$D$70,$D$69,P34)</f>
        <v>Удовлетворительно</v>
      </c>
    </row>
    <row r="35" spans="1:25" x14ac:dyDescent="0.25">
      <c r="A35" s="67">
        <v>2</v>
      </c>
      <c r="B35" s="2" t="s">
        <v>443</v>
      </c>
      <c r="C35" s="16">
        <f>Лаб0!N55</f>
        <v>0</v>
      </c>
      <c r="D35" s="16">
        <f>Лаб1!AC55</f>
        <v>6.094736842105263</v>
      </c>
      <c r="E35" s="16">
        <f>Лаб2!AB55</f>
        <v>6.4829999999999997</v>
      </c>
      <c r="F35" s="18">
        <f>Лаб3!Q55</f>
        <v>5.17</v>
      </c>
      <c r="G35" s="18">
        <f>Лаб4!K55</f>
        <v>4.2</v>
      </c>
      <c r="H35" s="18">
        <f>Лаб5!U55</f>
        <v>5.4420588235294121</v>
      </c>
      <c r="I35" s="18">
        <f>Лаб6!Q55</f>
        <v>6.2142857142857144</v>
      </c>
      <c r="J35" s="18">
        <f>Лаб7!R55</f>
        <v>6.0642857142857141</v>
      </c>
      <c r="K35" s="18"/>
      <c r="L35" s="18"/>
      <c r="M35" s="18">
        <v>20</v>
      </c>
      <c r="N35" s="19">
        <f>Посещаемость!BJ55</f>
        <v>1.3</v>
      </c>
      <c r="O35" s="82">
        <f>SUM(C35:M35)</f>
        <v>59.668367094206104</v>
      </c>
      <c r="P35" s="7">
        <f>SUM(C35:N35)</f>
        <v>60.968367094206101</v>
      </c>
      <c r="Q35" s="7"/>
      <c r="R35" s="63">
        <f>Посещаемость!BG55</f>
        <v>5</v>
      </c>
      <c r="S35" s="81">
        <f>$O35/S$66</f>
        <v>4.9723639245171753</v>
      </c>
      <c r="T35" s="81">
        <f>$O35/T$66</f>
        <v>2.5942768301828742</v>
      </c>
      <c r="U35" s="81">
        <f>$O35/U$66</f>
        <v>0.99447278490343505</v>
      </c>
      <c r="V35" s="40">
        <f>Посещаемость!BI55</f>
        <v>0.84375</v>
      </c>
      <c r="W35" s="40">
        <f>O35/$D$71</f>
        <v>0.99447278490343505</v>
      </c>
      <c r="X35" s="64">
        <f>MAX(0,W35*0.8+0.2*V35)</f>
        <v>0.96432822792274808</v>
      </c>
      <c r="Y35" s="17" t="str">
        <f>GetMark($D$71,$D$70,$D$69,P35)</f>
        <v>Удовлетворительно</v>
      </c>
    </row>
    <row r="36" spans="1:25" x14ac:dyDescent="0.25">
      <c r="A36" s="67">
        <v>3</v>
      </c>
      <c r="B36" s="2" t="s">
        <v>431</v>
      </c>
      <c r="C36" s="16">
        <f>Лаб0!N43</f>
        <v>0</v>
      </c>
      <c r="D36" s="16">
        <f>Лаб1!AC43</f>
        <v>6.1228421052631576</v>
      </c>
      <c r="E36" s="16">
        <f>Лаб2!AB43</f>
        <v>6.0419999999999998</v>
      </c>
      <c r="F36" s="18">
        <f>Лаб3!Q43</f>
        <v>5.15</v>
      </c>
      <c r="G36" s="18">
        <f>Лаб4!K43</f>
        <v>4.8</v>
      </c>
      <c r="H36" s="18">
        <f>Лаб5!U43</f>
        <v>5.2647058823529411</v>
      </c>
      <c r="I36" s="18">
        <f>Лаб6!Q43</f>
        <v>5.7750000000000004</v>
      </c>
      <c r="J36" s="18">
        <f>Лаб7!R43</f>
        <v>6.0857142857142854</v>
      </c>
      <c r="K36" s="18"/>
      <c r="L36" s="18"/>
      <c r="M36" s="18">
        <v>20</v>
      </c>
      <c r="N36" s="19">
        <f>Посещаемость!BJ43</f>
        <v>2.6</v>
      </c>
      <c r="O36" s="82">
        <f>SUM(C36:M36)</f>
        <v>59.240262273330387</v>
      </c>
      <c r="P36" s="7">
        <f>SUM(C36:N36)</f>
        <v>61.840262273330389</v>
      </c>
      <c r="Q36" s="7"/>
      <c r="R36" s="63">
        <f>Посещаемость!BG43</f>
        <v>1</v>
      </c>
      <c r="S36" s="81">
        <f>$O36/S$66</f>
        <v>4.9366885227775326</v>
      </c>
      <c r="T36" s="81">
        <f>$O36/T$66</f>
        <v>2.575663577101321</v>
      </c>
      <c r="U36" s="81">
        <f>$O36/U$66</f>
        <v>0.9873377045555064</v>
      </c>
      <c r="V36" s="40">
        <f>Посещаемость!BI43</f>
        <v>0.96875</v>
      </c>
      <c r="W36" s="40">
        <f>O36/$D$71</f>
        <v>0.9873377045555064</v>
      </c>
      <c r="X36" s="64">
        <f>MAX(0,W36*0.8+0.2*V36)</f>
        <v>0.98362016364440519</v>
      </c>
      <c r="Y36" s="17" t="str">
        <f>GetMark($D$71,$D$70,$D$69,P36)</f>
        <v>Удовлетворительно</v>
      </c>
    </row>
    <row r="37" spans="1:25" x14ac:dyDescent="0.25">
      <c r="A37" s="67">
        <v>4</v>
      </c>
      <c r="B37" s="2" t="s">
        <v>436</v>
      </c>
      <c r="C37" s="16">
        <f>Лаб0!N48</f>
        <v>0</v>
      </c>
      <c r="D37" s="16">
        <f>Лаб1!AC48</f>
        <v>6.9505263157894737</v>
      </c>
      <c r="E37" s="16">
        <f>Лаб2!AB48</f>
        <v>6.0149999999999997</v>
      </c>
      <c r="F37" s="18">
        <f>Лаб3!Q48</f>
        <v>5.05</v>
      </c>
      <c r="G37" s="18">
        <f>Лаб4!K48</f>
        <v>5.04</v>
      </c>
      <c r="H37" s="18">
        <f>Лаб5!U48</f>
        <v>5.1764705882352944</v>
      </c>
      <c r="I37" s="18">
        <f>Лаб6!Q48</f>
        <v>6.7821428571428575</v>
      </c>
      <c r="J37" s="18">
        <f>Лаб7!R48</f>
        <v>3.78</v>
      </c>
      <c r="K37" s="18"/>
      <c r="L37" s="18"/>
      <c r="M37" s="18">
        <v>20</v>
      </c>
      <c r="N37" s="19">
        <f>Посещаемость!BJ48</f>
        <v>1.4000000000000001</v>
      </c>
      <c r="O37" s="82">
        <f>SUM(C37:M37)</f>
        <v>58.794139761167621</v>
      </c>
      <c r="P37" s="7">
        <f>SUM(C37:N37)</f>
        <v>60.194139761167619</v>
      </c>
      <c r="Q37" s="7"/>
      <c r="R37" s="63">
        <f>Посещаемость!BG48</f>
        <v>3</v>
      </c>
      <c r="S37" s="81">
        <f>$O37/S$66</f>
        <v>4.8995116467639681</v>
      </c>
      <c r="T37" s="81">
        <f>$O37/T$66</f>
        <v>2.5562669461377228</v>
      </c>
      <c r="U37" s="81">
        <f>$O37/U$66</f>
        <v>0.97990232935279364</v>
      </c>
      <c r="V37" s="40">
        <f>Посещаемость!BI48</f>
        <v>0.90625</v>
      </c>
      <c r="W37" s="40">
        <f>O37/$D$71</f>
        <v>0.97990232935279364</v>
      </c>
      <c r="X37" s="64">
        <f>MAX(0,W37*0.8+0.2*V37)</f>
        <v>0.96517186348223494</v>
      </c>
      <c r="Y37" s="17" t="str">
        <f>GetMark($D$71,$D$70,$D$69,P37)</f>
        <v>Удовлетворительно</v>
      </c>
    </row>
    <row r="38" spans="1:25" x14ac:dyDescent="0.25">
      <c r="A38" s="67">
        <v>5</v>
      </c>
      <c r="B38" s="2" t="s">
        <v>438</v>
      </c>
      <c r="C38" s="16">
        <f>Лаб0!N50</f>
        <v>0</v>
      </c>
      <c r="D38" s="16">
        <f>Лаб1!AC50</f>
        <v>6.7105263157894735</v>
      </c>
      <c r="E38" s="16">
        <f>Лаб2!AB50</f>
        <v>6.0510000000000002</v>
      </c>
      <c r="F38" s="18">
        <f>Лаб3!Q50</f>
        <v>5.17</v>
      </c>
      <c r="G38" s="18">
        <f>Лаб4!K50</f>
        <v>4.5</v>
      </c>
      <c r="H38" s="18">
        <f>Лаб5!U50</f>
        <v>5.2611764705882358</v>
      </c>
      <c r="I38" s="18">
        <f>Лаб6!Q50</f>
        <v>4.5</v>
      </c>
      <c r="J38" s="18">
        <f>Лаб7!R50</f>
        <v>1.98</v>
      </c>
      <c r="K38" s="18"/>
      <c r="L38" s="18"/>
      <c r="M38" s="18"/>
      <c r="N38" s="19">
        <f>Посещаемость!BJ50</f>
        <v>0.2</v>
      </c>
      <c r="O38" s="82">
        <f>SUM(C38:M38)</f>
        <v>34.172702786377705</v>
      </c>
      <c r="P38" s="7">
        <f>SUM(C38:N38)</f>
        <v>34.372702786377708</v>
      </c>
      <c r="Q38" s="7"/>
      <c r="R38" s="63">
        <f>Посещаемость!BG50</f>
        <v>8</v>
      </c>
      <c r="S38" s="81">
        <f>$O38/S$66</f>
        <v>2.8477252321981421</v>
      </c>
      <c r="T38" s="81">
        <f>$O38/T$66</f>
        <v>1.485769686364248</v>
      </c>
      <c r="U38" s="81">
        <f>$O38/U$66</f>
        <v>0.56954504643962844</v>
      </c>
      <c r="V38" s="40">
        <f>Посещаемость!BI50</f>
        <v>0.75</v>
      </c>
      <c r="W38" s="40">
        <f>O38/$D$71</f>
        <v>0.56954504643962844</v>
      </c>
      <c r="X38" s="64">
        <f>MAX(0,W38*0.8+0.2*V38)</f>
        <v>0.60563603715170278</v>
      </c>
      <c r="Y38" s="17" t="str">
        <f>GetMark($D$71,$D$70,$D$69,P38)</f>
        <v>Неудовлетворительно</v>
      </c>
    </row>
    <row r="39" spans="1:25" x14ac:dyDescent="0.25">
      <c r="A39" s="67">
        <v>6</v>
      </c>
      <c r="B39" s="2" t="s">
        <v>427</v>
      </c>
      <c r="C39" s="16">
        <f>Лаб0!N39</f>
        <v>0</v>
      </c>
      <c r="D39" s="16">
        <f>Лаб1!AC39</f>
        <v>6.0473684210526315</v>
      </c>
      <c r="E39" s="16">
        <f>Лаб2!AB39</f>
        <v>6.4725000000000001</v>
      </c>
      <c r="F39" s="18">
        <f>Лаб3!Q39</f>
        <v>5.17</v>
      </c>
      <c r="G39" s="18">
        <f>Лаб4!K39</f>
        <v>3.024</v>
      </c>
      <c r="H39" s="18">
        <f>Лаб5!U39</f>
        <v>5.0070588235294116</v>
      </c>
      <c r="I39" s="18">
        <f>Лаб6!Q39</f>
        <v>5.0250000000000004</v>
      </c>
      <c r="J39" s="18">
        <f>Лаб7!R39</f>
        <v>0</v>
      </c>
      <c r="K39" s="18"/>
      <c r="L39" s="18"/>
      <c r="M39" s="18"/>
      <c r="N39" s="19">
        <f>Посещаемость!BJ39</f>
        <v>-0.5</v>
      </c>
      <c r="O39" s="82">
        <f>SUM(C39:M39)</f>
        <v>30.745927244582042</v>
      </c>
      <c r="P39" s="7">
        <f>SUM(C39:N39)</f>
        <v>30.245927244582042</v>
      </c>
      <c r="Q39" s="7"/>
      <c r="R39" s="63">
        <f>Посещаемость!BG39</f>
        <v>11</v>
      </c>
      <c r="S39" s="81">
        <f>$O39/S$66</f>
        <v>2.5621606037151703</v>
      </c>
      <c r="T39" s="81">
        <f>$O39/T$66</f>
        <v>1.3367794454166104</v>
      </c>
      <c r="U39" s="81">
        <f>$O39/U$66</f>
        <v>0.51243212074303401</v>
      </c>
      <c r="V39" s="40">
        <f>Посещаемость!BI39</f>
        <v>0.65625</v>
      </c>
      <c r="W39" s="40">
        <f>O39/$D$71</f>
        <v>0.51243212074303401</v>
      </c>
      <c r="X39" s="64">
        <f>MAX(0,W39*0.8+0.2*V39)</f>
        <v>0.54119569659442723</v>
      </c>
      <c r="Y39" s="17" t="str">
        <f>GetMark($D$71,$D$70,$D$69,P39)</f>
        <v>Неудовлетворительно</v>
      </c>
    </row>
    <row r="40" spans="1:25" x14ac:dyDescent="0.25">
      <c r="A40" s="67">
        <v>7</v>
      </c>
      <c r="B40" s="2" t="s">
        <v>428</v>
      </c>
      <c r="C40" s="16">
        <f>Лаб0!N40</f>
        <v>0</v>
      </c>
      <c r="D40" s="16">
        <f>Лаб1!AC40</f>
        <v>6.0789473684210522</v>
      </c>
      <c r="E40" s="16">
        <f>Лаб2!AB40</f>
        <v>0</v>
      </c>
      <c r="F40" s="18">
        <f>Лаб3!Q40</f>
        <v>0</v>
      </c>
      <c r="G40" s="18">
        <f>Лаб4!K40</f>
        <v>0</v>
      </c>
      <c r="H40" s="18">
        <f>Лаб5!U40</f>
        <v>0</v>
      </c>
      <c r="I40" s="18">
        <f>Лаб6!Q40</f>
        <v>6.3214285714285712</v>
      </c>
      <c r="J40" s="18">
        <f>Лаб7!R40</f>
        <v>0</v>
      </c>
      <c r="K40" s="18"/>
      <c r="L40" s="18"/>
      <c r="M40" s="18"/>
      <c r="N40" s="19">
        <f>Посещаемость!BJ40</f>
        <v>-0.1</v>
      </c>
      <c r="O40" s="82">
        <f>SUM(C40:M40)</f>
        <v>12.400375939849624</v>
      </c>
      <c r="P40" s="7">
        <f>SUM(C40:N40)</f>
        <v>12.300375939849625</v>
      </c>
      <c r="Q40" s="7"/>
      <c r="R40" s="63">
        <f>Посещаемость!BG40</f>
        <v>9</v>
      </c>
      <c r="S40" s="81">
        <f>$O40/S$66</f>
        <v>1.0333646616541354</v>
      </c>
      <c r="T40" s="81">
        <f>$O40/T$66</f>
        <v>0.53914677999346194</v>
      </c>
      <c r="U40" s="81">
        <f>$O40/U$66</f>
        <v>0.20667293233082706</v>
      </c>
      <c r="V40" s="40">
        <f>Посещаемость!BI40</f>
        <v>0.71875</v>
      </c>
      <c r="W40" s="40">
        <f>O40/$D$71</f>
        <v>0.20667293233082706</v>
      </c>
      <c r="X40" s="64">
        <f>MAX(0,W40*0.8+0.2*V40)</f>
        <v>0.30908834586466172</v>
      </c>
      <c r="Y40" s="17" t="str">
        <f>GetMark($D$71,$D$70,$D$69,P40)</f>
        <v>Неудовлетворительно</v>
      </c>
    </row>
    <row r="41" spans="1:25" x14ac:dyDescent="0.25">
      <c r="A41" s="67">
        <v>8</v>
      </c>
      <c r="B41" s="2" t="s">
        <v>422</v>
      </c>
      <c r="C41" s="16">
        <f>Лаб0!N34</f>
        <v>0</v>
      </c>
      <c r="D41" s="16">
        <f>Лаб1!AC34</f>
        <v>6.1421052631578945</v>
      </c>
      <c r="E41" s="16">
        <f>Лаб2!AB34</f>
        <v>2.6459999999999999</v>
      </c>
      <c r="F41" s="18">
        <f>Лаб3!Q34</f>
        <v>0</v>
      </c>
      <c r="G41" s="18">
        <f>Лаб4!K34</f>
        <v>0</v>
      </c>
      <c r="H41" s="18">
        <f>Лаб5!U34</f>
        <v>0</v>
      </c>
      <c r="I41" s="18">
        <f>Лаб6!Q34</f>
        <v>0</v>
      </c>
      <c r="J41" s="18">
        <f>Лаб7!R34</f>
        <v>0</v>
      </c>
      <c r="K41" s="18"/>
      <c r="L41" s="18"/>
      <c r="M41" s="18"/>
      <c r="N41" s="19">
        <f>Посещаемость!BJ34</f>
        <v>1.2000000000000002</v>
      </c>
      <c r="O41" s="82">
        <f>SUM(C41:M41)</f>
        <v>8.7881052631578953</v>
      </c>
      <c r="P41" s="7">
        <f>SUM(C41:N41)</f>
        <v>9.9881052631578946</v>
      </c>
      <c r="Q41" s="7"/>
      <c r="R41" s="63">
        <f>Посещаемость!BG34</f>
        <v>4</v>
      </c>
      <c r="S41" s="81">
        <f>$O41/S$66</f>
        <v>0.73234210526315791</v>
      </c>
      <c r="T41" s="81">
        <f>$O41/T$66</f>
        <v>0.38209153318077804</v>
      </c>
      <c r="U41" s="81">
        <f>$O41/U$66</f>
        <v>0.14646842105263158</v>
      </c>
      <c r="V41" s="40">
        <f>Посещаемость!BI34</f>
        <v>0.875</v>
      </c>
      <c r="W41" s="40">
        <f>O41/$D$71</f>
        <v>0.14646842105263158</v>
      </c>
      <c r="X41" s="64">
        <f>MAX(0,W41*0.8+0.2*V41)</f>
        <v>0.29217473684210526</v>
      </c>
      <c r="Y41" s="17" t="str">
        <f>GetMark($D$71,$D$70,$D$69,P41)</f>
        <v>Неудовлетворительно</v>
      </c>
    </row>
    <row r="42" spans="1:25" x14ac:dyDescent="0.25">
      <c r="A42" s="67">
        <v>9</v>
      </c>
      <c r="B42" s="70" t="s">
        <v>553</v>
      </c>
      <c r="C42" s="16">
        <f>Лаб0!N61</f>
        <v>0</v>
      </c>
      <c r="D42" s="16">
        <f>Лаб1!AC61</f>
        <v>6.3473684210526313</v>
      </c>
      <c r="E42" s="16">
        <f>Лаб2!AB61</f>
        <v>0</v>
      </c>
      <c r="F42" s="18">
        <f>Лаб3!Q61</f>
        <v>0</v>
      </c>
      <c r="G42" s="18">
        <f>Лаб4!K61</f>
        <v>0</v>
      </c>
      <c r="H42" s="18">
        <f>Лаб5!U61</f>
        <v>0</v>
      </c>
      <c r="I42" s="18">
        <f>Лаб6!Q61</f>
        <v>0</v>
      </c>
      <c r="J42" s="18">
        <f>Лаб7!R61</f>
        <v>0</v>
      </c>
      <c r="K42" s="18"/>
      <c r="L42" s="18"/>
      <c r="M42" s="18"/>
      <c r="N42" s="19">
        <f>Посещаемость!BJ61</f>
        <v>-0.9</v>
      </c>
      <c r="O42" s="82">
        <f>SUM(C42:M42)</f>
        <v>6.3473684210526313</v>
      </c>
      <c r="P42" s="7">
        <f>SUM(C42:N42)</f>
        <v>5.447368421052631</v>
      </c>
      <c r="Q42" s="7"/>
      <c r="R42" s="63">
        <f>Посещаемость!BG61</f>
        <v>6</v>
      </c>
      <c r="S42" s="81">
        <f>$O42/S$66</f>
        <v>0.52894736842105261</v>
      </c>
      <c r="T42" s="81">
        <f>$O42/T$66</f>
        <v>0.2759725400457666</v>
      </c>
      <c r="U42" s="81">
        <f>$O42/U$66</f>
        <v>0.10578947368421052</v>
      </c>
      <c r="V42" s="40">
        <f>Посещаемость!BI61</f>
        <v>0.45454545454545453</v>
      </c>
      <c r="W42" s="40">
        <f>O42/$D$71</f>
        <v>0.10578947368421052</v>
      </c>
      <c r="X42" s="64">
        <f>MAX(0,W42*0.8+0.2*V42)</f>
        <v>0.17554066985645933</v>
      </c>
      <c r="Y42" s="17" t="str">
        <f>GetMark($D$71,$D$70,$D$69,P42)</f>
        <v>Неудовлетворительно</v>
      </c>
    </row>
    <row r="43" spans="1:25" x14ac:dyDescent="0.25">
      <c r="A43" s="67">
        <v>10</v>
      </c>
      <c r="B43" s="2" t="s">
        <v>426</v>
      </c>
      <c r="C43" s="16">
        <f>Лаб0!N38</f>
        <v>0</v>
      </c>
      <c r="D43" s="16">
        <f>Лаб1!AC38</f>
        <v>5.4</v>
      </c>
      <c r="E43" s="16">
        <f>Лаб2!AB38</f>
        <v>0</v>
      </c>
      <c r="F43" s="18">
        <f>Лаб3!Q38</f>
        <v>0</v>
      </c>
      <c r="G43" s="18">
        <f>Лаб4!K38</f>
        <v>0</v>
      </c>
      <c r="H43" s="18">
        <f>Лаб5!U38</f>
        <v>0</v>
      </c>
      <c r="I43" s="18">
        <f>Лаб6!Q38</f>
        <v>0</v>
      </c>
      <c r="J43" s="18">
        <f>Лаб7!R38</f>
        <v>0</v>
      </c>
      <c r="K43" s="18"/>
      <c r="L43" s="18"/>
      <c r="M43" s="18"/>
      <c r="N43" s="19">
        <f>Посещаемость!BJ38</f>
        <v>1.8</v>
      </c>
      <c r="O43" s="82">
        <f>SUM(C43:M43)</f>
        <v>5.4</v>
      </c>
      <c r="P43" s="7">
        <f>SUM(C43:N43)</f>
        <v>7.2</v>
      </c>
      <c r="Q43" s="7"/>
      <c r="R43" s="63">
        <f>Посещаемость!BG38</f>
        <v>0</v>
      </c>
      <c r="S43" s="81">
        <f>$O43/S$66</f>
        <v>0.45</v>
      </c>
      <c r="T43" s="81">
        <f>$O43/T$66</f>
        <v>0.23478260869565218</v>
      </c>
      <c r="U43" s="81">
        <f>$O43/U$66</f>
        <v>9.0000000000000011E-2</v>
      </c>
      <c r="V43" s="40">
        <f>Посещаемость!BI38</f>
        <v>1</v>
      </c>
      <c r="W43" s="40">
        <f>O43/$D$71</f>
        <v>9.0000000000000011E-2</v>
      </c>
      <c r="X43" s="64">
        <f>MAX(0,W43*0.8+0.2*V43)</f>
        <v>0.27200000000000002</v>
      </c>
      <c r="Y43" s="17" t="str">
        <f>GetMark($D$71,$D$70,$D$69,P43)</f>
        <v>Неудовлетворительно</v>
      </c>
    </row>
    <row r="44" spans="1:25" x14ac:dyDescent="0.25">
      <c r="A44" s="67">
        <v>11</v>
      </c>
      <c r="B44" s="2" t="s">
        <v>442</v>
      </c>
      <c r="C44" s="16">
        <f>Лаб0!N54</f>
        <v>0</v>
      </c>
      <c r="D44" s="16">
        <f>Лаб1!AC54</f>
        <v>4.4000000000000004</v>
      </c>
      <c r="E44" s="16">
        <f>Лаб2!AB54</f>
        <v>0</v>
      </c>
      <c r="F44" s="18">
        <f>Лаб3!Q54</f>
        <v>0</v>
      </c>
      <c r="G44" s="18">
        <f>Лаб4!K54</f>
        <v>0</v>
      </c>
      <c r="H44" s="18">
        <f>Лаб5!U54</f>
        <v>0</v>
      </c>
      <c r="I44" s="18">
        <f>Лаб6!Q54</f>
        <v>0</v>
      </c>
      <c r="J44" s="18">
        <f>Лаб7!R54</f>
        <v>0</v>
      </c>
      <c r="K44" s="18"/>
      <c r="L44" s="18"/>
      <c r="M44" s="18"/>
      <c r="N44" s="19">
        <f>Посещаемость!BJ54</f>
        <v>-4.2</v>
      </c>
      <c r="O44" s="82">
        <f>SUM(C44:M44)</f>
        <v>4.4000000000000004</v>
      </c>
      <c r="P44" s="7">
        <f>SUM(C44:N44)</f>
        <v>0.20000000000000018</v>
      </c>
      <c r="Q44" s="7"/>
      <c r="R44" s="63">
        <f>Посещаемость!BG54</f>
        <v>24</v>
      </c>
      <c r="S44" s="81">
        <f>$O44/S$66</f>
        <v>0.3666666666666667</v>
      </c>
      <c r="T44" s="81">
        <f>$O44/T$66</f>
        <v>0.19130434782608696</v>
      </c>
      <c r="U44" s="81">
        <f>$O44/U$66</f>
        <v>7.3333333333333334E-2</v>
      </c>
      <c r="V44" s="40">
        <f>Посещаемость!BI54</f>
        <v>0.25</v>
      </c>
      <c r="W44" s="40">
        <f>O44/$D$71</f>
        <v>7.3333333333333334E-2</v>
      </c>
      <c r="X44" s="64">
        <f>MAX(0,W44*0.8+0.2*V44)</f>
        <v>0.10866666666666668</v>
      </c>
      <c r="Y44" s="17" t="str">
        <f>GetMark($D$71,$D$70,$D$69,P44)</f>
        <v>Неудовлетворительно</v>
      </c>
    </row>
    <row r="45" spans="1:25" x14ac:dyDescent="0.25">
      <c r="A45" s="67">
        <v>12</v>
      </c>
      <c r="B45" s="2" t="s">
        <v>439</v>
      </c>
      <c r="C45" s="16">
        <f>Лаб0!N51</f>
        <v>0</v>
      </c>
      <c r="D45" s="16">
        <f>Лаб1!AC51</f>
        <v>1.6799999999999997</v>
      </c>
      <c r="E45" s="16">
        <f>Лаб2!AB51</f>
        <v>0</v>
      </c>
      <c r="F45" s="18">
        <f>Лаб3!Q51</f>
        <v>0</v>
      </c>
      <c r="G45" s="18">
        <f>Лаб4!K51</f>
        <v>0</v>
      </c>
      <c r="H45" s="18">
        <f>Лаб5!U51</f>
        <v>0</v>
      </c>
      <c r="I45" s="18">
        <f>Лаб6!Q51</f>
        <v>0</v>
      </c>
      <c r="J45" s="18">
        <f>Лаб7!R51</f>
        <v>0</v>
      </c>
      <c r="K45" s="18"/>
      <c r="L45" s="18"/>
      <c r="M45" s="18"/>
      <c r="N45" s="19">
        <f>Посещаемость!BJ51</f>
        <v>-0.70000000000000007</v>
      </c>
      <c r="O45" s="82">
        <f>SUM(C45:M45)</f>
        <v>1.6799999999999997</v>
      </c>
      <c r="P45" s="7">
        <f>SUM(C45:N45)</f>
        <v>0.97999999999999965</v>
      </c>
      <c r="Q45" s="7"/>
      <c r="R45" s="63">
        <f>Посещаемость!BG51</f>
        <v>10</v>
      </c>
      <c r="S45" s="81">
        <f>$O45/S$66</f>
        <v>0.13999999999999999</v>
      </c>
      <c r="T45" s="81">
        <f>$O45/T$66</f>
        <v>7.3043478260869557E-2</v>
      </c>
      <c r="U45" s="81">
        <f>$O45/U$66</f>
        <v>2.7999999999999994E-2</v>
      </c>
      <c r="V45" s="40">
        <f>Посещаемость!BI51</f>
        <v>0.6875</v>
      </c>
      <c r="W45" s="40">
        <f>O45/$D$71</f>
        <v>2.7999999999999994E-2</v>
      </c>
      <c r="X45" s="64">
        <f>MAX(0,W45*0.8+0.2*V45)</f>
        <v>0.15990000000000001</v>
      </c>
      <c r="Y45" s="17" t="str">
        <f>GetMark($D$71,$D$70,$D$69,P45)</f>
        <v>Неудовлетворительно</v>
      </c>
    </row>
    <row r="46" spans="1:25" x14ac:dyDescent="0.25">
      <c r="A46" s="67">
        <v>13</v>
      </c>
      <c r="B46" s="2" t="s">
        <v>423</v>
      </c>
      <c r="C46" s="16">
        <f>Лаб0!N35</f>
        <v>0</v>
      </c>
      <c r="D46" s="16">
        <f>Лаб1!AC35</f>
        <v>0</v>
      </c>
      <c r="E46" s="16">
        <f>Лаб2!AB35</f>
        <v>0</v>
      </c>
      <c r="F46" s="18">
        <f>Лаб3!Q35</f>
        <v>0</v>
      </c>
      <c r="G46" s="18">
        <f>Лаб4!K35</f>
        <v>0</v>
      </c>
      <c r="H46" s="18">
        <f>Лаб5!U35</f>
        <v>0</v>
      </c>
      <c r="I46" s="18">
        <f>Лаб6!Q35</f>
        <v>0</v>
      </c>
      <c r="J46" s="18">
        <f>Лаб7!R35</f>
        <v>0</v>
      </c>
      <c r="K46" s="18"/>
      <c r="L46" s="18"/>
      <c r="M46" s="18"/>
      <c r="N46" s="19">
        <f>Посещаемость!BJ35</f>
        <v>-3.8000000000000003</v>
      </c>
      <c r="O46" s="82">
        <f>SUM(C46:M46)</f>
        <v>0</v>
      </c>
      <c r="P46" s="7">
        <f>SUM(C46:N46)</f>
        <v>-3.8000000000000003</v>
      </c>
      <c r="Q46" s="7"/>
      <c r="R46" s="63">
        <f>Посещаемость!BG35</f>
        <v>23</v>
      </c>
      <c r="S46" s="81">
        <f>$O46/S$66</f>
        <v>0</v>
      </c>
      <c r="T46" s="81">
        <f>$O46/T$66</f>
        <v>0</v>
      </c>
      <c r="U46" s="81">
        <f>$O46/U$66</f>
        <v>0</v>
      </c>
      <c r="V46" s="40">
        <f>Посещаемость!BI35</f>
        <v>0.28125</v>
      </c>
      <c r="W46" s="40">
        <f>O46/$D$71</f>
        <v>0</v>
      </c>
      <c r="X46" s="64">
        <f>MAX(0,W46*0.8+0.2*V46)</f>
        <v>5.6250000000000001E-2</v>
      </c>
      <c r="Y46" s="17" t="str">
        <f>GetMark($D$71,$D$70,$D$69,P46)</f>
        <v>Неудовлетворительно</v>
      </c>
    </row>
    <row r="47" spans="1:25" x14ac:dyDescent="0.25">
      <c r="A47" s="67">
        <v>14</v>
      </c>
      <c r="B47" s="2" t="s">
        <v>424</v>
      </c>
      <c r="C47" s="16">
        <f>Лаб0!N36</f>
        <v>0</v>
      </c>
      <c r="D47" s="16">
        <f>Лаб1!AC36</f>
        <v>0</v>
      </c>
      <c r="E47" s="16">
        <f>Лаб2!AB36</f>
        <v>0</v>
      </c>
      <c r="F47" s="18">
        <f>Лаб3!Q36</f>
        <v>0</v>
      </c>
      <c r="G47" s="18">
        <f>Лаб4!K36</f>
        <v>0</v>
      </c>
      <c r="H47" s="18">
        <f>Лаб5!U36</f>
        <v>0</v>
      </c>
      <c r="I47" s="18">
        <f>Лаб6!Q36</f>
        <v>0</v>
      </c>
      <c r="J47" s="18">
        <f>Лаб7!R36</f>
        <v>0</v>
      </c>
      <c r="K47" s="18"/>
      <c r="L47" s="18"/>
      <c r="M47" s="18"/>
      <c r="N47" s="19">
        <f>Посещаемость!BJ36</f>
        <v>-1.8</v>
      </c>
      <c r="O47" s="82">
        <f>SUM(C47:M47)</f>
        <v>0</v>
      </c>
      <c r="P47" s="7">
        <f>SUM(C47:N47)</f>
        <v>-1.8</v>
      </c>
      <c r="Q47" s="7"/>
      <c r="R47" s="63">
        <f>Посещаемость!BG36</f>
        <v>15</v>
      </c>
      <c r="S47" s="81">
        <f>$O47/S$66</f>
        <v>0</v>
      </c>
      <c r="T47" s="81">
        <f>$O47/T$66</f>
        <v>0</v>
      </c>
      <c r="U47" s="81">
        <f>$O47/U$66</f>
        <v>0</v>
      </c>
      <c r="V47" s="40">
        <f>Посещаемость!BI36</f>
        <v>0.53125</v>
      </c>
      <c r="W47" s="40">
        <f>O47/$D$71</f>
        <v>0</v>
      </c>
      <c r="X47" s="64">
        <f>MAX(0,W47*0.8+0.2*V47)</f>
        <v>0.10625000000000001</v>
      </c>
      <c r="Y47" s="17" t="str">
        <f>GetMark($D$71,$D$70,$D$69,P47)</f>
        <v>Неудовлетворительно</v>
      </c>
    </row>
    <row r="48" spans="1:25" x14ac:dyDescent="0.25">
      <c r="A48" s="67">
        <v>15</v>
      </c>
      <c r="B48" s="2" t="s">
        <v>425</v>
      </c>
      <c r="C48" s="16">
        <f>Лаб0!N37</f>
        <v>0</v>
      </c>
      <c r="D48" s="16">
        <f>Лаб1!AC37</f>
        <v>0</v>
      </c>
      <c r="E48" s="16">
        <f>Лаб2!AB37</f>
        <v>0</v>
      </c>
      <c r="F48" s="18">
        <f>Лаб3!Q37</f>
        <v>0</v>
      </c>
      <c r="G48" s="18">
        <f>Лаб4!K37</f>
        <v>0</v>
      </c>
      <c r="H48" s="18">
        <f>Лаб5!U37</f>
        <v>0</v>
      </c>
      <c r="I48" s="18">
        <f>Лаб6!Q37</f>
        <v>0</v>
      </c>
      <c r="J48" s="18">
        <f>Лаб7!R37</f>
        <v>0</v>
      </c>
      <c r="K48" s="18"/>
      <c r="L48" s="18"/>
      <c r="M48" s="18"/>
      <c r="N48" s="19">
        <f>Посещаемость!BJ37</f>
        <v>-2.1</v>
      </c>
      <c r="O48" s="82">
        <f>SUM(C48:M48)</f>
        <v>0</v>
      </c>
      <c r="P48" s="7">
        <f>SUM(C48:N48)</f>
        <v>-2.1</v>
      </c>
      <c r="Q48" s="7"/>
      <c r="R48" s="63">
        <f>Посещаемость!BG37</f>
        <v>16</v>
      </c>
      <c r="S48" s="81">
        <f>$O48/S$66</f>
        <v>0</v>
      </c>
      <c r="T48" s="81">
        <f>$O48/T$66</f>
        <v>0</v>
      </c>
      <c r="U48" s="81">
        <f>$O48/U$66</f>
        <v>0</v>
      </c>
      <c r="V48" s="40">
        <f>Посещаемость!BI37</f>
        <v>0.5</v>
      </c>
      <c r="W48" s="40">
        <f>O48/$D$71</f>
        <v>0</v>
      </c>
      <c r="X48" s="64">
        <f>MAX(0,W48*0.8+0.2*V48)</f>
        <v>0.1</v>
      </c>
      <c r="Y48" s="17" t="str">
        <f>GetMark($D$71,$D$70,$D$69,P48)</f>
        <v>Неудовлетворительно</v>
      </c>
    </row>
    <row r="49" spans="1:25" x14ac:dyDescent="0.25">
      <c r="A49" s="67">
        <v>16</v>
      </c>
      <c r="B49" s="2" t="s">
        <v>429</v>
      </c>
      <c r="C49" s="16">
        <f>Лаб0!N41</f>
        <v>0</v>
      </c>
      <c r="D49" s="16">
        <f>Лаб1!AC41</f>
        <v>0</v>
      </c>
      <c r="E49" s="16">
        <f>Лаб2!AB41</f>
        <v>0</v>
      </c>
      <c r="F49" s="18">
        <f>Лаб3!Q41</f>
        <v>0</v>
      </c>
      <c r="G49" s="18">
        <f>Лаб4!K41</f>
        <v>0</v>
      </c>
      <c r="H49" s="18">
        <f>Лаб5!U41</f>
        <v>0</v>
      </c>
      <c r="I49" s="18">
        <f>Лаб6!Q41</f>
        <v>0</v>
      </c>
      <c r="J49" s="18">
        <f>Лаб7!R41</f>
        <v>0</v>
      </c>
      <c r="K49" s="18"/>
      <c r="L49" s="18"/>
      <c r="M49" s="18"/>
      <c r="N49" s="19">
        <f>Посещаемость!BJ41</f>
        <v>-1.6</v>
      </c>
      <c r="O49" s="82">
        <f>SUM(C49:M49)</f>
        <v>0</v>
      </c>
      <c r="P49" s="7">
        <f>SUM(C49:N49)</f>
        <v>-1.6</v>
      </c>
      <c r="Q49" s="7"/>
      <c r="R49" s="63">
        <f>Посещаемость!BG41</f>
        <v>14</v>
      </c>
      <c r="S49" s="81">
        <f>$O49/S$66</f>
        <v>0</v>
      </c>
      <c r="T49" s="81">
        <f>$O49/T$66</f>
        <v>0</v>
      </c>
      <c r="U49" s="81">
        <f>$O49/U$66</f>
        <v>0</v>
      </c>
      <c r="V49" s="40">
        <f>Посещаемость!BI41</f>
        <v>0.5625</v>
      </c>
      <c r="W49" s="40">
        <f>O49/$D$71</f>
        <v>0</v>
      </c>
      <c r="X49" s="64">
        <f>MAX(0,W49*0.8+0.2*V49)</f>
        <v>0.1125</v>
      </c>
      <c r="Y49" s="17" t="str">
        <f>GetMark($D$71,$D$70,$D$69,P49)</f>
        <v>Неудовлетворительно</v>
      </c>
    </row>
    <row r="50" spans="1:25" x14ac:dyDescent="0.25">
      <c r="A50" s="67">
        <v>17</v>
      </c>
      <c r="B50" s="2" t="s">
        <v>430</v>
      </c>
      <c r="C50" s="16">
        <f>Лаб0!N42</f>
        <v>0</v>
      </c>
      <c r="D50" s="16">
        <f>Лаб1!AC42</f>
        <v>0</v>
      </c>
      <c r="E50" s="16">
        <f>Лаб2!AB42</f>
        <v>0</v>
      </c>
      <c r="F50" s="18">
        <f>Лаб3!Q42</f>
        <v>0</v>
      </c>
      <c r="G50" s="18">
        <f>Лаб4!K42</f>
        <v>0</v>
      </c>
      <c r="H50" s="18">
        <f>Лаб5!U42</f>
        <v>0</v>
      </c>
      <c r="I50" s="18">
        <f>Лаб6!Q42</f>
        <v>0</v>
      </c>
      <c r="J50" s="18">
        <f>Лаб7!R42</f>
        <v>0</v>
      </c>
      <c r="K50" s="18"/>
      <c r="L50" s="18"/>
      <c r="M50" s="18"/>
      <c r="N50" s="19">
        <f>Посещаемость!BJ42</f>
        <v>-3.3000000000000003</v>
      </c>
      <c r="O50" s="82">
        <f>SUM(C50:M50)</f>
        <v>0</v>
      </c>
      <c r="P50" s="7">
        <f>SUM(C50:N50)</f>
        <v>-3.3000000000000003</v>
      </c>
      <c r="Q50" s="7"/>
      <c r="R50" s="63">
        <f>Посещаемость!BG42</f>
        <v>20</v>
      </c>
      <c r="S50" s="81">
        <f>$O50/S$66</f>
        <v>0</v>
      </c>
      <c r="T50" s="81">
        <f>$O50/T$66</f>
        <v>0</v>
      </c>
      <c r="U50" s="81">
        <f>$O50/U$66</f>
        <v>0</v>
      </c>
      <c r="V50" s="40">
        <f>Посещаемость!BI42</f>
        <v>0.375</v>
      </c>
      <c r="W50" s="40">
        <f>O50/$D$71</f>
        <v>0</v>
      </c>
      <c r="X50" s="64">
        <f>MAX(0,W50*0.8+0.2*V50)</f>
        <v>7.5000000000000011E-2</v>
      </c>
      <c r="Y50" s="17" t="str">
        <f>GetMark($D$71,$D$70,$D$69,P50)</f>
        <v>Неудовлетворительно</v>
      </c>
    </row>
    <row r="51" spans="1:25" x14ac:dyDescent="0.25">
      <c r="A51" s="67">
        <v>18</v>
      </c>
      <c r="B51" s="2" t="s">
        <v>432</v>
      </c>
      <c r="C51" s="16">
        <f>Лаб0!N44</f>
        <v>0</v>
      </c>
      <c r="D51" s="16">
        <f>Лаб1!AC44</f>
        <v>0</v>
      </c>
      <c r="E51" s="16">
        <f>Лаб2!AB44</f>
        <v>0</v>
      </c>
      <c r="F51" s="18">
        <f>Лаб3!Q44</f>
        <v>0</v>
      </c>
      <c r="G51" s="18">
        <f>Лаб4!K44</f>
        <v>0</v>
      </c>
      <c r="H51" s="18">
        <f>Лаб5!U44</f>
        <v>0</v>
      </c>
      <c r="I51" s="18">
        <f>Лаб6!Q44</f>
        <v>0</v>
      </c>
      <c r="J51" s="18">
        <f>Лаб7!R44</f>
        <v>0</v>
      </c>
      <c r="K51" s="18"/>
      <c r="L51" s="18"/>
      <c r="M51" s="18"/>
      <c r="N51" s="19">
        <f>Посещаемость!BJ44</f>
        <v>-5.3000000000000007</v>
      </c>
      <c r="O51" s="82">
        <f>SUM(C51:M51)</f>
        <v>0</v>
      </c>
      <c r="P51" s="7">
        <f>SUM(C51:N51)</f>
        <v>-5.3000000000000007</v>
      </c>
      <c r="Q51" s="7"/>
      <c r="R51" s="63">
        <f>Посещаемость!BG44</f>
        <v>28</v>
      </c>
      <c r="S51" s="81">
        <f>$O51/S$66</f>
        <v>0</v>
      </c>
      <c r="T51" s="81">
        <f>$O51/T$66</f>
        <v>0</v>
      </c>
      <c r="U51" s="81">
        <f>$O51/U$66</f>
        <v>0</v>
      </c>
      <c r="V51" s="40">
        <f>Посещаемость!BI44</f>
        <v>0.125</v>
      </c>
      <c r="W51" s="40">
        <f>O51/$D$71</f>
        <v>0</v>
      </c>
      <c r="X51" s="64">
        <f>MAX(0,W51*0.8+0.2*V51)</f>
        <v>2.5000000000000001E-2</v>
      </c>
      <c r="Y51" s="17" t="str">
        <f>GetMark($D$71,$D$70,$D$69,P51)</f>
        <v>Неудовлетворительно</v>
      </c>
    </row>
    <row r="52" spans="1:25" x14ac:dyDescent="0.25">
      <c r="A52" s="67">
        <v>19</v>
      </c>
      <c r="B52" s="2" t="s">
        <v>433</v>
      </c>
      <c r="C52" s="16">
        <f>Лаб0!N45</f>
        <v>0</v>
      </c>
      <c r="D52" s="16">
        <f>Лаб1!AC45</f>
        <v>0</v>
      </c>
      <c r="E52" s="16">
        <f>Лаб2!AB45</f>
        <v>0</v>
      </c>
      <c r="F52" s="18">
        <f>Лаб3!Q45</f>
        <v>0</v>
      </c>
      <c r="G52" s="18">
        <f>Лаб4!K45</f>
        <v>0</v>
      </c>
      <c r="H52" s="18">
        <f>Лаб5!U45</f>
        <v>0</v>
      </c>
      <c r="I52" s="18">
        <f>Лаб6!Q45</f>
        <v>0</v>
      </c>
      <c r="J52" s="18">
        <f>Лаб7!R45</f>
        <v>0</v>
      </c>
      <c r="K52" s="18"/>
      <c r="L52" s="18"/>
      <c r="M52" s="18"/>
      <c r="N52" s="19">
        <f>Посещаемость!BJ45</f>
        <v>-5.3000000000000007</v>
      </c>
      <c r="O52" s="82">
        <f>SUM(C52:M52)</f>
        <v>0</v>
      </c>
      <c r="P52" s="7">
        <f>SUM(C52:N52)</f>
        <v>-5.3000000000000007</v>
      </c>
      <c r="Q52" s="7"/>
      <c r="R52" s="63">
        <f>Посещаемость!BG45</f>
        <v>28</v>
      </c>
      <c r="S52" s="81">
        <f>$O52/S$66</f>
        <v>0</v>
      </c>
      <c r="T52" s="81">
        <f>$O52/T$66</f>
        <v>0</v>
      </c>
      <c r="U52" s="81">
        <f>$O52/U$66</f>
        <v>0</v>
      </c>
      <c r="V52" s="40">
        <f>Посещаемость!BI45</f>
        <v>0.125</v>
      </c>
      <c r="W52" s="40">
        <f>O52/$D$71</f>
        <v>0</v>
      </c>
      <c r="X52" s="64">
        <f>MAX(0,W52*0.8+0.2*V52)</f>
        <v>2.5000000000000001E-2</v>
      </c>
      <c r="Y52" s="17" t="str">
        <f>GetMark($D$71,$D$70,$D$69,P52)</f>
        <v>Неудовлетворительно</v>
      </c>
    </row>
    <row r="53" spans="1:25" x14ac:dyDescent="0.25">
      <c r="A53" s="67">
        <v>20</v>
      </c>
      <c r="B53" s="2" t="s">
        <v>434</v>
      </c>
      <c r="C53" s="16">
        <f>Лаб0!N46</f>
        <v>0</v>
      </c>
      <c r="D53" s="16">
        <f>Лаб1!AC46</f>
        <v>0</v>
      </c>
      <c r="E53" s="16">
        <f>Лаб2!AB46</f>
        <v>0</v>
      </c>
      <c r="F53" s="18">
        <f>Лаб3!Q46</f>
        <v>0</v>
      </c>
      <c r="G53" s="18">
        <f>Лаб4!K46</f>
        <v>0</v>
      </c>
      <c r="H53" s="18">
        <f>Лаб5!U46</f>
        <v>0</v>
      </c>
      <c r="I53" s="18">
        <f>Лаб6!Q46</f>
        <v>0</v>
      </c>
      <c r="J53" s="18">
        <f>Лаб7!R46</f>
        <v>0</v>
      </c>
      <c r="K53" s="18"/>
      <c r="L53" s="18"/>
      <c r="M53" s="18"/>
      <c r="N53" s="19">
        <f>Посещаемость!BJ46</f>
        <v>-2.3000000000000003</v>
      </c>
      <c r="O53" s="82">
        <f>SUM(C53:M53)</f>
        <v>0</v>
      </c>
      <c r="P53" s="7">
        <f>SUM(C53:N53)</f>
        <v>-2.3000000000000003</v>
      </c>
      <c r="Q53" s="7"/>
      <c r="R53" s="63">
        <f>Посещаемость!BG46</f>
        <v>17</v>
      </c>
      <c r="S53" s="81">
        <f>$O53/S$66</f>
        <v>0</v>
      </c>
      <c r="T53" s="81">
        <f>$O53/T$66</f>
        <v>0</v>
      </c>
      <c r="U53" s="81">
        <f>$O53/U$66</f>
        <v>0</v>
      </c>
      <c r="V53" s="40">
        <f>Посещаемость!BI46</f>
        <v>0.46875</v>
      </c>
      <c r="W53" s="40">
        <f>O53/$D$71</f>
        <v>0</v>
      </c>
      <c r="X53" s="64">
        <f>MAX(0,W53*0.8+0.2*V53)</f>
        <v>9.375E-2</v>
      </c>
      <c r="Y53" s="17" t="str">
        <f>GetMark($D$71,$D$70,$D$69,P53)</f>
        <v>Неудовлетворительно</v>
      </c>
    </row>
    <row r="54" spans="1:25" x14ac:dyDescent="0.25">
      <c r="A54" s="67">
        <v>21</v>
      </c>
      <c r="B54" s="2" t="s">
        <v>435</v>
      </c>
      <c r="C54" s="16">
        <f>Лаб0!N47</f>
        <v>0</v>
      </c>
      <c r="D54" s="16">
        <f>Лаб1!AC47</f>
        <v>0</v>
      </c>
      <c r="E54" s="16">
        <f>Лаб2!AB47</f>
        <v>0</v>
      </c>
      <c r="F54" s="18">
        <f>Лаб3!Q47</f>
        <v>0</v>
      </c>
      <c r="G54" s="18">
        <f>Лаб4!K47</f>
        <v>0</v>
      </c>
      <c r="H54" s="18">
        <f>Лаб5!U47</f>
        <v>0</v>
      </c>
      <c r="I54" s="18">
        <f>Лаб6!Q47</f>
        <v>0</v>
      </c>
      <c r="J54" s="18">
        <f>Лаб7!R47</f>
        <v>0</v>
      </c>
      <c r="K54" s="18"/>
      <c r="L54" s="18"/>
      <c r="M54" s="18"/>
      <c r="N54" s="19">
        <f>Посещаемость!BJ47</f>
        <v>-6.4</v>
      </c>
      <c r="O54" s="82">
        <f>SUM(C54:M54)</f>
        <v>0</v>
      </c>
      <c r="P54" s="7">
        <f>SUM(C54:N54)</f>
        <v>-6.4</v>
      </c>
      <c r="Q54" s="7"/>
      <c r="R54" s="63">
        <f>Посещаемость!BG47</f>
        <v>32</v>
      </c>
      <c r="S54" s="81">
        <f>$O54/S$66</f>
        <v>0</v>
      </c>
      <c r="T54" s="81">
        <f>$O54/T$66</f>
        <v>0</v>
      </c>
      <c r="U54" s="81">
        <f>$O54/U$66</f>
        <v>0</v>
      </c>
      <c r="V54" s="40">
        <f>Посещаемость!BI47</f>
        <v>0</v>
      </c>
      <c r="W54" s="40">
        <f>O54/$D$71</f>
        <v>0</v>
      </c>
      <c r="X54" s="64">
        <f>MAX(0,W54*0.8+0.2*V54)</f>
        <v>0</v>
      </c>
      <c r="Y54" s="17" t="str">
        <f>GetMark($D$71,$D$70,$D$69,P54)</f>
        <v>Неудовлетворительно</v>
      </c>
    </row>
    <row r="55" spans="1:25" x14ac:dyDescent="0.25">
      <c r="A55" s="67">
        <v>22</v>
      </c>
      <c r="B55" s="2" t="s">
        <v>437</v>
      </c>
      <c r="C55" s="16">
        <f>Лаб0!N49</f>
        <v>0</v>
      </c>
      <c r="D55" s="16">
        <f>Лаб1!AC49</f>
        <v>0</v>
      </c>
      <c r="E55" s="16">
        <f>Лаб2!AB49</f>
        <v>0</v>
      </c>
      <c r="F55" s="18">
        <f>Лаб3!Q49</f>
        <v>0</v>
      </c>
      <c r="G55" s="18">
        <f>Лаб4!K49</f>
        <v>0</v>
      </c>
      <c r="H55" s="18">
        <f>Лаб5!U49</f>
        <v>0</v>
      </c>
      <c r="I55" s="18">
        <f>Лаб6!Q49</f>
        <v>0</v>
      </c>
      <c r="J55" s="18">
        <f>Лаб7!R49</f>
        <v>0</v>
      </c>
      <c r="K55" s="18"/>
      <c r="L55" s="18"/>
      <c r="M55" s="18"/>
      <c r="N55" s="19">
        <f>Посещаемость!BJ49</f>
        <v>-6.1000000000000005</v>
      </c>
      <c r="O55" s="82">
        <f>SUM(C55:M55)</f>
        <v>0</v>
      </c>
      <c r="P55" s="7">
        <f>SUM(C55:N55)</f>
        <v>-6.1000000000000005</v>
      </c>
      <c r="Q55" s="7"/>
      <c r="R55" s="63">
        <f>Посещаемость!BG49</f>
        <v>31</v>
      </c>
      <c r="S55" s="81">
        <f>$O55/S$66</f>
        <v>0</v>
      </c>
      <c r="T55" s="81">
        <f>$O55/T$66</f>
        <v>0</v>
      </c>
      <c r="U55" s="81">
        <f>$O55/U$66</f>
        <v>0</v>
      </c>
      <c r="V55" s="40">
        <f>Посещаемость!BI49</f>
        <v>3.125E-2</v>
      </c>
      <c r="W55" s="40">
        <f>O55/$D$71</f>
        <v>0</v>
      </c>
      <c r="X55" s="64">
        <f>MAX(0,W55*0.8+0.2*V55)</f>
        <v>6.2500000000000003E-3</v>
      </c>
      <c r="Y55" s="17" t="str">
        <f>GetMark($D$71,$D$70,$D$69,P55)</f>
        <v>Неудовлетворительно</v>
      </c>
    </row>
    <row r="56" spans="1:25" x14ac:dyDescent="0.25">
      <c r="A56" s="67">
        <v>23</v>
      </c>
      <c r="B56" s="2" t="s">
        <v>440</v>
      </c>
      <c r="C56" s="16">
        <f>Лаб0!N52</f>
        <v>0</v>
      </c>
      <c r="D56" s="16">
        <f>Лаб1!AC52</f>
        <v>0</v>
      </c>
      <c r="E56" s="16">
        <f>Лаб2!AB52</f>
        <v>0</v>
      </c>
      <c r="F56" s="18">
        <f>Лаб3!Q52</f>
        <v>0</v>
      </c>
      <c r="G56" s="18">
        <f>Лаб4!K52</f>
        <v>0</v>
      </c>
      <c r="H56" s="18">
        <f>Лаб5!U52</f>
        <v>0</v>
      </c>
      <c r="I56" s="18">
        <f>Лаб6!Q52</f>
        <v>0</v>
      </c>
      <c r="J56" s="18">
        <f>Лаб7!R52</f>
        <v>0</v>
      </c>
      <c r="K56" s="18"/>
      <c r="L56" s="18"/>
      <c r="M56" s="18"/>
      <c r="N56" s="19">
        <f>Посещаемость!BJ52</f>
        <v>-2.4000000000000004</v>
      </c>
      <c r="O56" s="82">
        <f>SUM(C56:M56)</f>
        <v>0</v>
      </c>
      <c r="P56" s="7">
        <f>SUM(C56:N56)</f>
        <v>-2.4000000000000004</v>
      </c>
      <c r="Q56" s="7"/>
      <c r="R56" s="63">
        <f>Посещаемость!BG52</f>
        <v>16</v>
      </c>
      <c r="S56" s="81">
        <f>$O56/S$66</f>
        <v>0</v>
      </c>
      <c r="T56" s="81">
        <f>$O56/T$66</f>
        <v>0</v>
      </c>
      <c r="U56" s="81">
        <f>$O56/U$66</f>
        <v>0</v>
      </c>
      <c r="V56" s="40">
        <f>Посещаемость!BI52</f>
        <v>0.5</v>
      </c>
      <c r="W56" s="40">
        <f>O56/$D$71</f>
        <v>0</v>
      </c>
      <c r="X56" s="64">
        <f>MAX(0,W56*0.8+0.2*V56)</f>
        <v>0.1</v>
      </c>
      <c r="Y56" s="17" t="str">
        <f>GetMark($D$71,$D$70,$D$69,P56)</f>
        <v>Неудовлетворительно</v>
      </c>
    </row>
    <row r="57" spans="1:25" x14ac:dyDescent="0.25">
      <c r="A57" s="67">
        <v>24</v>
      </c>
      <c r="B57" s="2" t="s">
        <v>441</v>
      </c>
      <c r="C57" s="16">
        <f>Лаб0!N53</f>
        <v>0</v>
      </c>
      <c r="D57" s="16">
        <f>Лаб1!AC53</f>
        <v>0</v>
      </c>
      <c r="E57" s="16">
        <f>Лаб2!AB53</f>
        <v>0</v>
      </c>
      <c r="F57" s="18">
        <f>Лаб3!Q53</f>
        <v>0</v>
      </c>
      <c r="G57" s="18">
        <f>Лаб4!K53</f>
        <v>0</v>
      </c>
      <c r="H57" s="18">
        <f>Лаб5!U53</f>
        <v>0</v>
      </c>
      <c r="I57" s="18">
        <f>Лаб6!Q53</f>
        <v>0</v>
      </c>
      <c r="J57" s="18">
        <f>Лаб7!R53</f>
        <v>0</v>
      </c>
      <c r="K57" s="18"/>
      <c r="L57" s="18"/>
      <c r="M57" s="18"/>
      <c r="N57" s="19">
        <f>Посещаемость!BJ53</f>
        <v>-4.2</v>
      </c>
      <c r="O57" s="82">
        <f>SUM(C57:M57)</f>
        <v>0</v>
      </c>
      <c r="P57" s="7">
        <f>SUM(C57:N57)</f>
        <v>-4.2</v>
      </c>
      <c r="Q57" s="7"/>
      <c r="R57" s="63">
        <f>Посещаемость!BG53</f>
        <v>24</v>
      </c>
      <c r="S57" s="81">
        <f>$O57/S$66</f>
        <v>0</v>
      </c>
      <c r="T57" s="81">
        <f>$O57/T$66</f>
        <v>0</v>
      </c>
      <c r="U57" s="81">
        <f>$O57/U$66</f>
        <v>0</v>
      </c>
      <c r="V57" s="40">
        <f>Посещаемость!BI53</f>
        <v>0.25</v>
      </c>
      <c r="W57" s="40">
        <f>O57/$D$71</f>
        <v>0</v>
      </c>
      <c r="X57" s="64">
        <f>MAX(0,W57*0.8+0.2*V57)</f>
        <v>0.05</v>
      </c>
      <c r="Y57" s="17" t="str">
        <f>GetMark($D$71,$D$70,$D$69,P57)</f>
        <v>Неудовлетворительно</v>
      </c>
    </row>
    <row r="58" spans="1:25" x14ac:dyDescent="0.25">
      <c r="A58" s="67">
        <v>25</v>
      </c>
      <c r="B58" s="2" t="s">
        <v>444</v>
      </c>
      <c r="C58" s="16">
        <f>Лаб0!N56</f>
        <v>0</v>
      </c>
      <c r="D58" s="16">
        <f>Лаб1!AC56</f>
        <v>0</v>
      </c>
      <c r="E58" s="16">
        <f>Лаб2!AB56</f>
        <v>0</v>
      </c>
      <c r="F58" s="18">
        <f>Лаб3!Q56</f>
        <v>0</v>
      </c>
      <c r="G58" s="18">
        <f>Лаб4!K56</f>
        <v>0</v>
      </c>
      <c r="H58" s="18">
        <f>Лаб5!U56</f>
        <v>0</v>
      </c>
      <c r="I58" s="18">
        <f>Лаб6!Q56</f>
        <v>0</v>
      </c>
      <c r="J58" s="18">
        <f>Лаб7!R56</f>
        <v>0</v>
      </c>
      <c r="K58" s="18"/>
      <c r="L58" s="18"/>
      <c r="M58" s="18"/>
      <c r="N58" s="19">
        <f>Посещаемость!BJ56</f>
        <v>0.8</v>
      </c>
      <c r="O58" s="82">
        <f>SUM(C58:M58)</f>
        <v>0</v>
      </c>
      <c r="P58" s="7">
        <f>SUM(C58:N58)</f>
        <v>0.8</v>
      </c>
      <c r="Q58" s="7"/>
      <c r="R58" s="63">
        <f>Посещаемость!BG56</f>
        <v>4</v>
      </c>
      <c r="S58" s="81">
        <f>$O58/S$66</f>
        <v>0</v>
      </c>
      <c r="T58" s="81">
        <f>$O58/T$66</f>
        <v>0</v>
      </c>
      <c r="U58" s="81">
        <f>$O58/U$66</f>
        <v>0</v>
      </c>
      <c r="V58" s="40">
        <f>Посещаемость!BI56</f>
        <v>0.875</v>
      </c>
      <c r="W58" s="40">
        <f>O58/$D$71</f>
        <v>0</v>
      </c>
      <c r="X58" s="64">
        <f>MAX(0,W58*0.8+0.2*V58)</f>
        <v>0.17500000000000002</v>
      </c>
      <c r="Y58" s="17" t="str">
        <f>GetMark($D$71,$D$70,$D$69,P58)</f>
        <v>Неудовлетворительно</v>
      </c>
    </row>
    <row r="59" spans="1:25" x14ac:dyDescent="0.25">
      <c r="A59" s="67">
        <v>26</v>
      </c>
      <c r="B59" s="2" t="s">
        <v>445</v>
      </c>
      <c r="C59" s="16">
        <f>Лаб0!N57</f>
        <v>0</v>
      </c>
      <c r="D59" s="16">
        <f>Лаб1!AC57</f>
        <v>0</v>
      </c>
      <c r="E59" s="16">
        <f>Лаб2!AB57</f>
        <v>0</v>
      </c>
      <c r="F59" s="18">
        <f>Лаб3!Q57</f>
        <v>0</v>
      </c>
      <c r="G59" s="18">
        <f>Лаб4!K57</f>
        <v>0</v>
      </c>
      <c r="H59" s="18">
        <f>Лаб5!U57</f>
        <v>0</v>
      </c>
      <c r="I59" s="18">
        <f>Лаб6!Q57</f>
        <v>0</v>
      </c>
      <c r="J59" s="18">
        <f>Лаб7!R57</f>
        <v>0</v>
      </c>
      <c r="K59" s="18"/>
      <c r="L59" s="18"/>
      <c r="M59" s="18"/>
      <c r="N59" s="19">
        <f>Посещаемость!BJ57</f>
        <v>-2.2000000000000002</v>
      </c>
      <c r="O59" s="82">
        <f>SUM(C59:M59)</f>
        <v>0</v>
      </c>
      <c r="P59" s="7">
        <f>SUM(C59:N59)</f>
        <v>-2.2000000000000002</v>
      </c>
      <c r="Q59" s="7"/>
      <c r="R59" s="63">
        <f>Посещаемость!BG57</f>
        <v>16</v>
      </c>
      <c r="S59" s="81">
        <f>$O59/S$66</f>
        <v>0</v>
      </c>
      <c r="T59" s="81">
        <f>$O59/T$66</f>
        <v>0</v>
      </c>
      <c r="U59" s="81">
        <f>$O59/U$66</f>
        <v>0</v>
      </c>
      <c r="V59" s="40">
        <f>Посещаемость!BI57</f>
        <v>0.5</v>
      </c>
      <c r="W59" s="40">
        <f>O59/$D$71</f>
        <v>0</v>
      </c>
      <c r="X59" s="64">
        <f>MAX(0,W59*0.8+0.2*V59)</f>
        <v>0.1</v>
      </c>
      <c r="Y59" s="17" t="str">
        <f>GetMark($D$71,$D$70,$D$69,P59)</f>
        <v>Неудовлетворительно</v>
      </c>
    </row>
    <row r="60" spans="1:25" x14ac:dyDescent="0.25">
      <c r="A60" s="67">
        <v>27</v>
      </c>
      <c r="B60" s="2" t="s">
        <v>446</v>
      </c>
      <c r="C60" s="16">
        <f>Лаб0!N58</f>
        <v>0</v>
      </c>
      <c r="D60" s="16">
        <f>Лаб1!AC58</f>
        <v>0</v>
      </c>
      <c r="E60" s="16">
        <f>Лаб2!AB58</f>
        <v>0</v>
      </c>
      <c r="F60" s="18">
        <f>Лаб3!Q58</f>
        <v>0</v>
      </c>
      <c r="G60" s="18">
        <f>Лаб4!K58</f>
        <v>0</v>
      </c>
      <c r="H60" s="18">
        <f>Лаб5!U58</f>
        <v>0</v>
      </c>
      <c r="I60" s="18">
        <f>Лаб6!Q58</f>
        <v>0</v>
      </c>
      <c r="J60" s="18">
        <f>Лаб7!R58</f>
        <v>0</v>
      </c>
      <c r="K60" s="18"/>
      <c r="L60" s="18"/>
      <c r="M60" s="18"/>
      <c r="N60" s="19">
        <f>Посещаемость!BJ58</f>
        <v>-6.1000000000000005</v>
      </c>
      <c r="O60" s="82">
        <f>SUM(C60:M60)</f>
        <v>0</v>
      </c>
      <c r="P60" s="7">
        <f>SUM(C60:N60)</f>
        <v>-6.1000000000000005</v>
      </c>
      <c r="Q60" s="7"/>
      <c r="R60" s="63">
        <f>Посещаемость!BG58</f>
        <v>31</v>
      </c>
      <c r="S60" s="81">
        <f>$O60/S$66</f>
        <v>0</v>
      </c>
      <c r="T60" s="81">
        <f>$O60/T$66</f>
        <v>0</v>
      </c>
      <c r="U60" s="81">
        <f>$O60/U$66</f>
        <v>0</v>
      </c>
      <c r="V60" s="40">
        <f>Посещаемость!BI58</f>
        <v>3.125E-2</v>
      </c>
      <c r="W60" s="40">
        <f>O60/$D$71</f>
        <v>0</v>
      </c>
      <c r="X60" s="64">
        <f>MAX(0,W60*0.8+0.2*V60)</f>
        <v>6.2500000000000003E-3</v>
      </c>
      <c r="Y60" s="17" t="str">
        <f>GetMark($D$71,$D$70,$D$69,P60)</f>
        <v>Неудовлетворительно</v>
      </c>
    </row>
    <row r="61" spans="1:25" x14ac:dyDescent="0.25">
      <c r="A61" s="67">
        <v>28</v>
      </c>
      <c r="B61" s="137" t="s">
        <v>447</v>
      </c>
      <c r="C61" s="16">
        <f>Лаб0!N59</f>
        <v>0</v>
      </c>
      <c r="D61" s="16">
        <f>Лаб1!AC59</f>
        <v>0</v>
      </c>
      <c r="E61" s="16">
        <f>Лаб2!AB59</f>
        <v>0</v>
      </c>
      <c r="F61" s="18">
        <f>Лаб3!Q59</f>
        <v>0</v>
      </c>
      <c r="G61" s="18">
        <f>Лаб4!K59</f>
        <v>0</v>
      </c>
      <c r="H61" s="18">
        <f>Лаб5!U59</f>
        <v>0</v>
      </c>
      <c r="I61" s="18">
        <f>Лаб6!Q59</f>
        <v>0</v>
      </c>
      <c r="J61" s="18">
        <f>Лаб7!R59</f>
        <v>0</v>
      </c>
      <c r="K61" s="18"/>
      <c r="L61" s="18"/>
      <c r="M61" s="18"/>
      <c r="N61" s="19">
        <f>Посещаемость!BJ59</f>
        <v>-5.2</v>
      </c>
      <c r="O61" s="82">
        <f>SUM(C61:M61)</f>
        <v>0</v>
      </c>
      <c r="P61" s="7">
        <f>SUM(C61:N61)</f>
        <v>-5.2</v>
      </c>
      <c r="Q61" s="7"/>
      <c r="R61" s="63">
        <f>Посещаемость!BG59</f>
        <v>28</v>
      </c>
      <c r="S61" s="81">
        <f>$O61/S$66</f>
        <v>0</v>
      </c>
      <c r="T61" s="81">
        <f>$O61/T$66</f>
        <v>0</v>
      </c>
      <c r="U61" s="81">
        <f>$O61/U$66</f>
        <v>0</v>
      </c>
      <c r="V61" s="40">
        <f>Посещаемость!BI59</f>
        <v>0.125</v>
      </c>
      <c r="W61" s="40">
        <f>O61/$D$71</f>
        <v>0</v>
      </c>
      <c r="X61" s="64">
        <f>MAX(0,W61*0.8+0.2*V61)</f>
        <v>2.5000000000000001E-2</v>
      </c>
      <c r="Y61" s="17" t="str">
        <f>GetMark($D$71,$D$70,$D$69,P61)</f>
        <v>Неудовлетворительно</v>
      </c>
    </row>
    <row r="62" spans="1:25" x14ac:dyDescent="0.25">
      <c r="A62" s="67">
        <v>29</v>
      </c>
      <c r="B62" s="124"/>
      <c r="C62" s="16">
        <f>Лаб0!N62</f>
        <v>0</v>
      </c>
      <c r="D62" s="16">
        <f>Лаб1!AC62</f>
        <v>0</v>
      </c>
      <c r="E62" s="16">
        <f>Лаб2!AB62</f>
        <v>0</v>
      </c>
      <c r="F62" s="18">
        <f>Лаб3!Q62</f>
        <v>0</v>
      </c>
      <c r="G62" s="18">
        <f>Лаб4!K62</f>
        <v>0</v>
      </c>
      <c r="H62" s="18">
        <f>Лаб5!U62</f>
        <v>0</v>
      </c>
      <c r="I62" s="18">
        <f>Лаб6!Q62</f>
        <v>0</v>
      </c>
      <c r="J62" s="18">
        <f>Лаб7!R62</f>
        <v>0</v>
      </c>
      <c r="K62" s="18"/>
      <c r="L62" s="18"/>
      <c r="M62" s="18"/>
      <c r="N62" s="19">
        <f>Посещаемость!BJ62</f>
        <v>0</v>
      </c>
      <c r="O62" s="82">
        <f>SUM(C62:M62)</f>
        <v>0</v>
      </c>
      <c r="P62" s="7">
        <f>SUM(C62:N62)</f>
        <v>0</v>
      </c>
      <c r="Q62" s="7"/>
      <c r="R62" s="63">
        <f>Посещаемость!BG62</f>
        <v>0</v>
      </c>
      <c r="S62" s="81">
        <f>$O62/S$66</f>
        <v>0</v>
      </c>
      <c r="T62" s="81">
        <f>$O62/T$66</f>
        <v>0</v>
      </c>
      <c r="U62" s="81">
        <f>$O62/U$66</f>
        <v>0</v>
      </c>
      <c r="V62" s="40">
        <f>Посещаемость!BI62</f>
        <v>0</v>
      </c>
      <c r="W62" s="40">
        <f>O62/$D$71</f>
        <v>0</v>
      </c>
      <c r="X62" s="64">
        <f>MAX(0,W62*0.8+0.2*V62)</f>
        <v>0</v>
      </c>
      <c r="Y62" s="17" t="str">
        <f>GetMark($D$71,$D$70,$D$69,P62)</f>
        <v>Неудовлетворительно</v>
      </c>
    </row>
    <row r="63" spans="1:25" x14ac:dyDescent="0.25">
      <c r="A63" s="67">
        <v>30</v>
      </c>
      <c r="B63" s="124"/>
      <c r="C63" s="16">
        <f>Лаб0!N63</f>
        <v>0</v>
      </c>
      <c r="D63" s="16">
        <f>Лаб1!AC63</f>
        <v>0</v>
      </c>
      <c r="E63" s="16">
        <f>Лаб2!AB63</f>
        <v>0</v>
      </c>
      <c r="F63" s="18">
        <f>Лаб3!Q63</f>
        <v>0</v>
      </c>
      <c r="G63" s="18">
        <f>Лаб4!K63</f>
        <v>0</v>
      </c>
      <c r="H63" s="18">
        <f>Лаб5!U63</f>
        <v>0</v>
      </c>
      <c r="I63" s="18">
        <f>Лаб6!Q63</f>
        <v>0</v>
      </c>
      <c r="J63" s="18">
        <f>Лаб7!R63</f>
        <v>0</v>
      </c>
      <c r="K63" s="18"/>
      <c r="L63" s="18"/>
      <c r="M63" s="18"/>
      <c r="N63" s="19">
        <f>Посещаемость!BJ63</f>
        <v>0</v>
      </c>
      <c r="O63" s="82">
        <f>SUM(C63:M63)</f>
        <v>0</v>
      </c>
      <c r="P63" s="7">
        <f>SUM(C63:N63)</f>
        <v>0</v>
      </c>
      <c r="Q63" s="7"/>
      <c r="R63" s="63">
        <f>Посещаемость!BG63</f>
        <v>0</v>
      </c>
      <c r="S63" s="81">
        <f>$O63/S$66</f>
        <v>0</v>
      </c>
      <c r="T63" s="81">
        <f>$O63/T$66</f>
        <v>0</v>
      </c>
      <c r="U63" s="81">
        <f>$O63/U$66</f>
        <v>0</v>
      </c>
      <c r="V63" s="40">
        <f>Посещаемость!BI63</f>
        <v>0</v>
      </c>
      <c r="W63" s="40">
        <f>O63/$D$71</f>
        <v>0</v>
      </c>
      <c r="X63" s="64">
        <f>MAX(0,W63*0.8+0.2*V63)</f>
        <v>0</v>
      </c>
      <c r="Y63" s="17" t="str">
        <f>GetMark($D$71,$D$70,$D$69,P63)</f>
        <v>Неудовлетворительно</v>
      </c>
    </row>
    <row r="64" spans="1:25" x14ac:dyDescent="0.25">
      <c r="B64" s="1" t="s">
        <v>34</v>
      </c>
      <c r="C64" s="37">
        <f>Лаб0!D69</f>
        <v>3</v>
      </c>
      <c r="D64" s="37">
        <f>Лаб1!D69</f>
        <v>9</v>
      </c>
      <c r="E64" s="37">
        <f>Лаб2!D69</f>
        <v>9</v>
      </c>
      <c r="F64" s="37">
        <f>Лаб3!D69</f>
        <v>7.5</v>
      </c>
      <c r="G64" s="37">
        <f>Лаб4!D69</f>
        <v>9</v>
      </c>
      <c r="H64" s="37">
        <f>Лаб5!D69</f>
        <v>7.5</v>
      </c>
      <c r="I64" s="37">
        <f>Лаб6!D69</f>
        <v>9</v>
      </c>
      <c r="J64" s="37">
        <f>Лаб7!D69</f>
        <v>9</v>
      </c>
      <c r="K64" s="37"/>
      <c r="L64" s="37"/>
      <c r="M64" s="37">
        <v>30</v>
      </c>
      <c r="N64">
        <f>Посещаемость!D69</f>
        <v>3.4</v>
      </c>
      <c r="S64">
        <f>SUM(D64:E64)</f>
        <v>18</v>
      </c>
      <c r="T64">
        <f>SUM(D64:G64)</f>
        <v>34.5</v>
      </c>
      <c r="U64">
        <f>SUM(D64:M64)</f>
        <v>90</v>
      </c>
    </row>
    <row r="65" spans="2:21" x14ac:dyDescent="0.25">
      <c r="B65" s="9" t="s">
        <v>35</v>
      </c>
      <c r="C65" s="37">
        <f>Лаб0!D70</f>
        <v>2.5</v>
      </c>
      <c r="D65" s="37">
        <f>Лаб1!D70</f>
        <v>7.5</v>
      </c>
      <c r="E65" s="37">
        <f>Лаб2!D70</f>
        <v>7.5</v>
      </c>
      <c r="F65" s="37">
        <f>Лаб3!D70</f>
        <v>6.25</v>
      </c>
      <c r="G65" s="37">
        <f>Лаб4!D70</f>
        <v>7.5</v>
      </c>
      <c r="H65" s="37">
        <f>Лаб5!D70</f>
        <v>6.25</v>
      </c>
      <c r="I65" s="37">
        <f>Лаб6!D70</f>
        <v>7.5</v>
      </c>
      <c r="J65" s="37">
        <f>Лаб7!D70</f>
        <v>7.5</v>
      </c>
      <c r="K65" s="37"/>
      <c r="L65" s="37"/>
      <c r="M65" s="37">
        <v>25</v>
      </c>
      <c r="N65">
        <f>Посещаемость!D70</f>
        <v>3</v>
      </c>
      <c r="S65">
        <f>SUM(D65:E65)</f>
        <v>15</v>
      </c>
      <c r="T65">
        <f>SUM(D65:G65)</f>
        <v>28.75</v>
      </c>
      <c r="U65">
        <f>SUM(D65:M65)</f>
        <v>75</v>
      </c>
    </row>
    <row r="66" spans="2:21" x14ac:dyDescent="0.25">
      <c r="B66" s="9" t="s">
        <v>36</v>
      </c>
      <c r="C66" s="37">
        <f>Лаб0!D71</f>
        <v>2</v>
      </c>
      <c r="D66" s="37">
        <f>Лаб1!D71</f>
        <v>6</v>
      </c>
      <c r="E66" s="37">
        <f>Лаб2!D71</f>
        <v>6</v>
      </c>
      <c r="F66" s="37">
        <f>Лаб3!D71</f>
        <v>5</v>
      </c>
      <c r="G66" s="37">
        <f>Лаб4!D71</f>
        <v>6</v>
      </c>
      <c r="H66" s="37">
        <f>Лаб5!D71</f>
        <v>5</v>
      </c>
      <c r="I66" s="37">
        <f>Лаб6!D71</f>
        <v>6</v>
      </c>
      <c r="J66" s="37">
        <f>Лаб7!D71</f>
        <v>6</v>
      </c>
      <c r="K66" s="37"/>
      <c r="L66" s="37"/>
      <c r="M66" s="37">
        <v>20</v>
      </c>
      <c r="N66">
        <f>Посещаемость!D71</f>
        <v>2.7</v>
      </c>
      <c r="S66">
        <f>SUM(D66:E66)</f>
        <v>12</v>
      </c>
      <c r="T66">
        <f>SUM(D66:G66)</f>
        <v>23</v>
      </c>
      <c r="U66">
        <f>SUM(D66:M66)</f>
        <v>60</v>
      </c>
    </row>
    <row r="67" spans="2:21" x14ac:dyDescent="0.25">
      <c r="B67" s="9" t="s">
        <v>44</v>
      </c>
      <c r="C67" s="39">
        <f t="shared" ref="C67:J67" si="0">SUM(C3:C63)/(C66*(COUNTA(C3:C63) - 1))</f>
        <v>0</v>
      </c>
      <c r="D67" s="39">
        <f t="shared" si="0"/>
        <v>0.64127483918128658</v>
      </c>
      <c r="E67" s="39">
        <f t="shared" si="0"/>
        <v>0.44959270833333326</v>
      </c>
      <c r="F67" s="39">
        <f t="shared" si="0"/>
        <v>0.43474194444444447</v>
      </c>
      <c r="G67" s="39">
        <f t="shared" si="0"/>
        <v>0.32887865079365081</v>
      </c>
      <c r="H67" s="39">
        <f t="shared" si="0"/>
        <v>0.44337524509803911</v>
      </c>
      <c r="I67" s="39">
        <f t="shared" si="0"/>
        <v>0.38280563186813188</v>
      </c>
      <c r="J67" s="39">
        <f t="shared" si="0"/>
        <v>0.26812797619047624</v>
      </c>
      <c r="K67" s="39"/>
      <c r="L67" s="39"/>
      <c r="M67" s="39"/>
    </row>
    <row r="68" spans="2:21" x14ac:dyDescent="0.25">
      <c r="D68" t="s">
        <v>17</v>
      </c>
    </row>
    <row r="69" spans="2:21" x14ac:dyDescent="0.25">
      <c r="B69" t="s">
        <v>13</v>
      </c>
      <c r="D69">
        <f>SUM(D64:M64)</f>
        <v>90</v>
      </c>
    </row>
    <row r="70" spans="2:21" x14ac:dyDescent="0.25">
      <c r="B70" t="s">
        <v>14</v>
      </c>
      <c r="D70">
        <f>SUM(D65:M65)</f>
        <v>75</v>
      </c>
    </row>
    <row r="71" spans="2:21" x14ac:dyDescent="0.25">
      <c r="B71" t="s">
        <v>15</v>
      </c>
      <c r="D71">
        <f>SUM(D66:M66)</f>
        <v>60</v>
      </c>
    </row>
  </sheetData>
  <sortState ref="B34:Y63">
    <sortCondition descending="1" ref="O34:O63"/>
    <sortCondition ref="B34:B63"/>
  </sortState>
  <phoneticPr fontId="8" type="noConversion"/>
  <conditionalFormatting sqref="C34:C63 C3:C32">
    <cfRule type="colorScale" priority="22">
      <colorScale>
        <cfvo type="num" val="0"/>
        <cfvo type="num" val="$C$66"/>
        <cfvo type="num" val="$C$64"/>
        <color rgb="FFFF0000"/>
        <color rgb="FFFFFF00"/>
        <color rgb="FF00B050"/>
      </colorScale>
    </cfRule>
  </conditionalFormatting>
  <conditionalFormatting sqref="D34:D63 D3:D32">
    <cfRule type="colorScale" priority="21">
      <colorScale>
        <cfvo type="num" val="0"/>
        <cfvo type="num" val="$D$66"/>
        <cfvo type="num" val="$D$64"/>
        <color rgb="FFFF0000"/>
        <color rgb="FFFFFF00"/>
        <color rgb="FF00B050"/>
      </colorScale>
    </cfRule>
  </conditionalFormatting>
  <conditionalFormatting sqref="E34:E63 E3:E32">
    <cfRule type="colorScale" priority="19">
      <colorScale>
        <cfvo type="num" val="0"/>
        <cfvo type="num" val="$E$66"/>
        <cfvo type="num" val="$E$64"/>
        <color rgb="FFFF0000"/>
        <color rgb="FFFFFF00"/>
        <color rgb="FF00B050"/>
      </colorScale>
    </cfRule>
    <cfRule type="colorScale" priority="20">
      <colorScale>
        <cfvo type="num" val="$E$66"/>
        <cfvo type="num" val="$E$65"/>
        <cfvo type="num" val="$E$64"/>
        <color rgb="FFFF0000"/>
        <color rgb="FFFFFF00"/>
        <color rgb="FF00B050"/>
      </colorScale>
    </cfRule>
  </conditionalFormatting>
  <conditionalFormatting sqref="O34:O63 O3:O32">
    <cfRule type="colorScale" priority="1">
      <colorScale>
        <cfvo type="num" val="0"/>
        <cfvo type="num" val="$D$71"/>
        <cfvo type="num" val="$D$69"/>
        <color rgb="FFFF0000"/>
        <color rgb="FFFFFF00"/>
        <color rgb="FF00B050"/>
      </colorScale>
    </cfRule>
    <cfRule type="colorScale" priority="2">
      <colorScale>
        <cfvo type="num" val="0"/>
        <cfvo type="num" val="$S$66"/>
        <cfvo type="num" val="$S$64"/>
        <color rgb="FFFF0000"/>
        <color rgb="FFFFFF00"/>
        <color rgb="FF00B050"/>
      </colorScale>
    </cfRule>
    <cfRule type="colorScale" priority="17">
      <colorScale>
        <cfvo type="num" val="0"/>
        <cfvo type="num" val="$D$71"/>
        <cfvo type="num" val="$D$69"/>
        <color rgb="FFFF0000"/>
        <color rgb="FFFFFF00"/>
        <color rgb="FF00B050"/>
      </colorScale>
    </cfRule>
    <cfRule type="colorScale" priority="18">
      <colorScale>
        <cfvo type="num" val="0"/>
        <cfvo type="num" val="$D$71"/>
        <cfvo type="num" val="$D$69"/>
        <color rgb="FFFF0000"/>
        <color rgb="FFFFFF00"/>
        <color rgb="FFFF0000"/>
      </colorScale>
    </cfRule>
  </conditionalFormatting>
  <conditionalFormatting sqref="F34:F63 F3:F32">
    <cfRule type="colorScale" priority="16">
      <colorScale>
        <cfvo type="num" val="0"/>
        <cfvo type="num" val="$F$66"/>
        <cfvo type="num" val="$F$64"/>
        <color rgb="FFFF0000"/>
        <color rgb="FFFFFF00"/>
        <color rgb="FF00B050"/>
      </colorScale>
    </cfRule>
  </conditionalFormatting>
  <conditionalFormatting sqref="V34:V63 V3:V32">
    <cfRule type="colorScale" priority="14">
      <colorScale>
        <cfvo type="num" val="0"/>
        <cfvo type="num" val="0.8"/>
        <cfvo type="num" val="1"/>
        <color rgb="FFFF0000"/>
        <color rgb="FFFFFF00"/>
        <color rgb="FF00B050"/>
      </colorScale>
    </cfRule>
    <cfRule type="colorScale" priority="15">
      <colorScale>
        <cfvo type="num" val="0"/>
        <cfvo type="num" val="0.7"/>
        <cfvo type="num" val="1"/>
        <color rgb="FFFF0000"/>
        <color rgb="FFFFFF00"/>
        <color rgb="FF00B050"/>
      </colorScale>
    </cfRule>
  </conditionalFormatting>
  <conditionalFormatting sqref="W34:W63 W6:W7 W3:X5 T3:U5 T8:U32 W8:X32">
    <cfRule type="colorScale" priority="13">
      <colorScale>
        <cfvo type="num" val="0"/>
        <cfvo type="num" val="1"/>
        <cfvo type="num" val="1.5"/>
        <color rgb="FFFF0000"/>
        <color rgb="FFFFFF00"/>
        <color rgb="FF00B050"/>
      </colorScale>
    </cfRule>
  </conditionalFormatting>
  <conditionalFormatting sqref="S34:S63 S3:S32">
    <cfRule type="colorScale" priority="11">
      <colorScale>
        <cfvo type="num" val="0"/>
        <cfvo type="num" val="1"/>
        <cfvo type="num" val="1.5"/>
        <color rgb="FFFF0000"/>
        <color rgb="FFFFFF00"/>
        <color rgb="FF00B050"/>
      </colorScale>
    </cfRule>
    <cfRule type="colorScale" priority="12">
      <colorScale>
        <cfvo type="num" val="0"/>
        <cfvo type="num" val="$S$66"/>
        <cfvo type="num" val="$S$64"/>
        <color rgb="FFFF0000"/>
        <color rgb="FFFFFF00"/>
        <color rgb="FF00B050"/>
      </colorScale>
    </cfRule>
  </conditionalFormatting>
  <conditionalFormatting sqref="T34:T63 T6:T7">
    <cfRule type="colorScale" priority="10">
      <colorScale>
        <cfvo type="num" val="0"/>
        <cfvo type="num" val="1"/>
        <cfvo type="num" val="1.5"/>
        <color rgb="FFFF0000"/>
        <color rgb="FFFFFF00"/>
        <color rgb="FF00B050"/>
      </colorScale>
    </cfRule>
  </conditionalFormatting>
  <conditionalFormatting sqref="U34:U63 U6:U7">
    <cfRule type="colorScale" priority="9">
      <colorScale>
        <cfvo type="num" val="0"/>
        <cfvo type="num" val="1"/>
        <cfvo type="num" val="1.5"/>
        <color rgb="FFFF0000"/>
        <color rgb="FFFFFF00"/>
        <color rgb="FF00B050"/>
      </colorScale>
    </cfRule>
  </conditionalFormatting>
  <conditionalFormatting sqref="G34:G63 G3:G32">
    <cfRule type="colorScale" priority="8">
      <colorScale>
        <cfvo type="num" val="0"/>
        <cfvo type="num" val="$G$66"/>
        <cfvo type="num" val="$G$64"/>
        <color rgb="FFFF0000"/>
        <color rgb="FFFFFF00"/>
        <color rgb="FF00B050"/>
      </colorScale>
    </cfRule>
  </conditionalFormatting>
  <conditionalFormatting sqref="H34:H63 H3:H32">
    <cfRule type="colorScale" priority="7">
      <colorScale>
        <cfvo type="num" val="0"/>
        <cfvo type="num" val="$H$66"/>
        <cfvo type="num" val="$H$64"/>
        <color rgb="FFFF0000"/>
        <color rgb="FFFFFF00"/>
        <color rgb="FF00B050"/>
      </colorScale>
    </cfRule>
  </conditionalFormatting>
  <conditionalFormatting sqref="I34:I63 I3:I32">
    <cfRule type="colorScale" priority="6">
      <colorScale>
        <cfvo type="num" val="0"/>
        <cfvo type="num" val="$I$66"/>
        <cfvo type="num" val="$I$64"/>
        <color rgb="FFFF0000"/>
        <color rgb="FFFFFF00"/>
        <color rgb="FF00B050"/>
      </colorScale>
    </cfRule>
  </conditionalFormatting>
  <conditionalFormatting sqref="J34:J63 J3:J32">
    <cfRule type="colorScale" priority="5">
      <colorScale>
        <cfvo type="num" val="0"/>
        <cfvo type="num" val="$J$66"/>
        <cfvo type="num" val="$J$64"/>
        <color rgb="FFFF0000"/>
        <color rgb="FFFFFF00"/>
        <color rgb="FF00B050"/>
      </colorScale>
    </cfRule>
  </conditionalFormatting>
  <conditionalFormatting sqref="X6:X7">
    <cfRule type="colorScale" priority="4">
      <colorScale>
        <cfvo type="num" val="0"/>
        <cfvo type="num" val="1"/>
        <cfvo type="num" val="1.5"/>
        <color rgb="FFFF0000"/>
        <color rgb="FFFFFF00"/>
        <color rgb="FF00B050"/>
      </colorScale>
    </cfRule>
  </conditionalFormatting>
  <conditionalFormatting sqref="X34:X63">
    <cfRule type="colorScale" priority="3">
      <colorScale>
        <cfvo type="num" val="0"/>
        <cfvo type="num" val="1"/>
        <cfvo type="num" val="1.5"/>
        <color rgb="FFFF0000"/>
        <color rgb="FFFFFF00"/>
        <color rgb="FF00B050"/>
      </colorScale>
    </cfRule>
  </conditionalFormatting>
  <conditionalFormatting sqref="N3:N32">
    <cfRule type="colorScale" priority="23">
      <colorScale>
        <cfvo type="min"/>
        <cfvo type="num" val="&quot;МАКС($A$3:$N$3)*0,8&quot;"/>
        <cfvo type="max"/>
        <color rgb="FFFF0000"/>
        <color rgb="FFFFFF00"/>
        <color rgb="FF00B050"/>
      </colorScale>
    </cfRule>
  </conditionalFormatting>
  <conditionalFormatting sqref="R34:U63 R3:U32">
    <cfRule type="colorScale" priority="24">
      <colorScale>
        <cfvo type="num" val="0"/>
        <cfvo type="percentile" val="75"/>
        <cfvo type="max"/>
        <color rgb="FF00B050"/>
        <color rgb="FFFFFF00"/>
        <color rgb="FFFF0000"/>
      </colorScale>
    </cfRule>
    <cfRule type="colorScale" priority="25">
      <colorScale>
        <cfvo type="num" val="0"/>
        <cfvo type="percentile" val="60"/>
        <cfvo type="max"/>
        <color rgb="FF00B050"/>
        <color rgb="FFFFFF00"/>
        <color rgb="FFFF0000"/>
      </colorScale>
    </cfRule>
    <cfRule type="colorScale" priority="26">
      <colorScale>
        <cfvo type="num" val="0"/>
        <cfvo type="percentile" val="40"/>
        <cfvo type="max"/>
        <color rgb="FF00B050"/>
        <color rgb="FFFFFF00"/>
        <color rgb="FFFF0000"/>
      </colorScale>
    </cfRule>
  </conditionalFormatting>
  <conditionalFormatting sqref="N34:N63">
    <cfRule type="colorScale" priority="27">
      <colorScale>
        <cfvo type="min"/>
        <cfvo type="num" val="&quot;МАКС($N$20:$N$35)*0,8&quot;"/>
        <cfvo type="max"/>
        <color rgb="FFFF0000"/>
        <color rgb="FFFFFF00"/>
        <color rgb="FF00B050"/>
      </colorScale>
    </cfRule>
  </conditionalFormatting>
  <conditionalFormatting sqref="N34:N63 N3:N32">
    <cfRule type="colorScale" priority="28">
      <colorScale>
        <cfvo type="num" val="0"/>
        <cfvo type="formula" val="MAX($N$3:$N$25,$N$34:$N$63)*0.6"/>
        <cfvo type="max"/>
        <color rgb="FFFF0000"/>
        <color rgb="FFFFFF00"/>
        <color rgb="FF00B050"/>
      </colorScale>
    </cfRule>
    <cfRule type="colorScale" priority="29">
      <colorScale>
        <cfvo type="num" val="0"/>
        <cfvo type="formula" val="MAX($N$3:$N$25,$N$34:$N$63)"/>
        <cfvo type="max"/>
        <color rgb="FFFF0000"/>
        <color rgb="FFFFFF00"/>
        <color rgb="FF00B050"/>
      </colorScale>
    </cfRule>
    <cfRule type="colorScale" priority="30">
      <colorScale>
        <cfvo type="num" val="0"/>
        <cfvo type="formula" val="&quot;МАКС($N$3:$N$18;$N$20:$N$35)*0,8&quot;"/>
        <cfvo type="max"/>
        <color rgb="FFFF0000"/>
        <color rgb="FFFFFF00"/>
        <color rgb="FF00B050"/>
      </colorScale>
    </cfRule>
    <cfRule type="colorScale" priority="31">
      <colorScale>
        <cfvo type="min"/>
        <cfvo type="formula" val="MAX($N$3:$N$25,$N$34:$N$63)*0.5"/>
        <cfvo type="max"/>
        <color rgb="FFFF0000"/>
        <color rgb="FFFFFF00"/>
        <color rgb="FF00B050"/>
      </colorScale>
    </cfRule>
    <cfRule type="colorScale" priority="32">
      <colorScale>
        <cfvo type="min"/>
        <cfvo type="num" val="&quot;МАКС($N$3:$N$18;$N$20:$N$35)*0,8&quot;"/>
        <cfvo type="max"/>
        <color rgb="FFFF0000"/>
        <color rgb="FFFFFF00"/>
        <color rgb="FF00B050"/>
      </colorScale>
    </cfRule>
    <cfRule type="colorScale" priority="33">
      <colorScale>
        <cfvo type="num" val="0"/>
        <cfvo type="percentile" val="40"/>
        <cfvo type="max"/>
        <color rgb="FFFF0000"/>
        <color rgb="FFFFFF00"/>
        <color rgb="FF00B050"/>
      </colorScale>
    </cfRule>
    <cfRule type="colorScale" priority="34">
      <colorScale>
        <cfvo type="num" val="0"/>
        <cfvo type="percentile" val="60"/>
        <cfvo type="max"/>
        <color rgb="FFFF0000"/>
        <color rgb="FFFFFF00"/>
        <color rgb="FF00B050"/>
      </colorScale>
    </cfRule>
    <cfRule type="colorScale" priority="35">
      <colorScale>
        <cfvo type="min"/>
        <cfvo type="percentile" val="60"/>
        <cfvo type="max"/>
        <color rgb="FFFF0000"/>
        <color rgb="FFFFFF00"/>
        <color rgb="FF00B050"/>
      </colorScale>
    </cfRule>
    <cfRule type="colorScale" priority="36">
      <colorScale>
        <cfvo type="num" val="0"/>
        <cfvo type="percentile" val="50"/>
        <cfvo type="max"/>
        <color rgb="FFFF0000"/>
        <color rgb="FFFFFF00"/>
        <color rgb="FF00B050"/>
      </colorScale>
    </cfRule>
  </conditionalFormatting>
  <pageMargins left="0.48" right="0.70866141732283472" top="0.74803149606299213" bottom="0.74803149606299213" header="0.31496062992125984" footer="0.31496062992125984"/>
  <pageSetup paperSize="9" scale="35" fitToHeight="2" orientation="landscape" horizontalDpi="180" verticalDpi="18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R57"/>
  <sheetViews>
    <sheetView workbookViewId="0"/>
  </sheetViews>
  <sheetFormatPr defaultRowHeight="15" x14ac:dyDescent="0.25"/>
  <cols>
    <col min="2" max="2" width="34.7109375" customWidth="1"/>
    <col min="3" max="3" width="20.28515625" customWidth="1"/>
    <col min="4" max="4" width="14.140625" customWidth="1"/>
    <col min="5" max="5" width="13.7109375" customWidth="1"/>
    <col min="6" max="13" width="19.140625" customWidth="1"/>
    <col min="14" max="15" width="10.28515625" bestFit="1" customWidth="1"/>
    <col min="16" max="16" width="10.28515625" customWidth="1"/>
    <col min="17" max="17" width="11.85546875" customWidth="1"/>
    <col min="18" max="22" width="10.28515625" bestFit="1" customWidth="1"/>
  </cols>
  <sheetData>
    <row r="1" spans="1:18" x14ac:dyDescent="0.25">
      <c r="B1" t="s">
        <v>92</v>
      </c>
    </row>
    <row r="2" spans="1:18" x14ac:dyDescent="0.25">
      <c r="A2" s="3"/>
      <c r="B2" s="65" t="s">
        <v>20</v>
      </c>
      <c r="C2" s="65" t="s">
        <v>93</v>
      </c>
      <c r="D2" s="65" t="s">
        <v>94</v>
      </c>
      <c r="E2" s="65" t="s">
        <v>95</v>
      </c>
      <c r="F2" s="65" t="s">
        <v>96</v>
      </c>
      <c r="G2" s="65" t="s">
        <v>97</v>
      </c>
      <c r="H2" s="65" t="s">
        <v>98</v>
      </c>
      <c r="I2" s="65"/>
      <c r="J2" s="65"/>
      <c r="K2" s="65"/>
      <c r="L2" s="65"/>
      <c r="M2" s="65"/>
      <c r="N2" s="10" t="s">
        <v>0</v>
      </c>
      <c r="O2" s="10" t="s">
        <v>1</v>
      </c>
      <c r="P2" s="10" t="s">
        <v>47</v>
      </c>
      <c r="Q2" s="10" t="s">
        <v>12</v>
      </c>
    </row>
    <row r="3" spans="1:18" x14ac:dyDescent="0.25">
      <c r="A3" s="3">
        <v>1</v>
      </c>
      <c r="B3" s="3" t="s">
        <v>186</v>
      </c>
      <c r="C3" s="6"/>
      <c r="D3" s="6"/>
      <c r="E3" s="6"/>
      <c r="F3" s="29"/>
      <c r="G3" s="29"/>
      <c r="H3" s="29"/>
      <c r="I3" s="29"/>
      <c r="J3" s="29"/>
      <c r="K3" s="29"/>
      <c r="L3" s="29"/>
      <c r="M3" s="29"/>
      <c r="N3" s="3">
        <f>SUM(C3:H3)</f>
        <v>0</v>
      </c>
      <c r="O3" s="3"/>
      <c r="P3" s="28"/>
      <c r="Q3" s="7">
        <f t="shared" ref="Q3:Q18" si="0">NormalizeResult($C$43,$D$43,$C$42,$D$42,$C$41,$D$41,N3)+O3+IF(P3&gt;$P$36,P3*$P$37,0)</f>
        <v>0</v>
      </c>
    </row>
    <row r="4" spans="1:18" x14ac:dyDescent="0.25">
      <c r="A4" s="3">
        <v>2</v>
      </c>
      <c r="B4" s="3" t="s">
        <v>187</v>
      </c>
      <c r="C4" s="6"/>
      <c r="D4" s="6"/>
      <c r="E4" s="6"/>
      <c r="F4" s="29"/>
      <c r="G4" s="29"/>
      <c r="H4" s="29"/>
      <c r="I4" s="29"/>
      <c r="J4" s="29"/>
      <c r="K4" s="29"/>
      <c r="L4" s="29"/>
      <c r="M4" s="29"/>
      <c r="N4" s="3">
        <f t="shared" ref="N4:N18" si="1">SUM(C4:H4)</f>
        <v>0</v>
      </c>
      <c r="O4" s="3"/>
      <c r="P4" s="28"/>
      <c r="Q4" s="7">
        <f t="shared" si="0"/>
        <v>0</v>
      </c>
    </row>
    <row r="5" spans="1:18" x14ac:dyDescent="0.25">
      <c r="A5" s="3">
        <v>3</v>
      </c>
      <c r="B5" s="3" t="s">
        <v>188</v>
      </c>
      <c r="C5" s="6"/>
      <c r="D5" s="6"/>
      <c r="E5" s="6"/>
      <c r="F5" s="29"/>
      <c r="G5" s="29"/>
      <c r="H5" s="29"/>
      <c r="I5" s="29"/>
      <c r="J5" s="29"/>
      <c r="K5" s="29"/>
      <c r="L5" s="29"/>
      <c r="M5" s="29"/>
      <c r="N5" s="3">
        <f t="shared" si="1"/>
        <v>0</v>
      </c>
      <c r="O5" s="3"/>
      <c r="P5" s="28"/>
      <c r="Q5" s="7">
        <f t="shared" si="0"/>
        <v>0</v>
      </c>
    </row>
    <row r="6" spans="1:18" x14ac:dyDescent="0.25">
      <c r="A6" s="3">
        <v>4</v>
      </c>
      <c r="B6" s="3" t="s">
        <v>189</v>
      </c>
      <c r="C6" s="6"/>
      <c r="D6" s="6"/>
      <c r="E6" s="6"/>
      <c r="F6" s="29"/>
      <c r="G6" s="29"/>
      <c r="H6" s="29"/>
      <c r="I6" s="29"/>
      <c r="J6" s="29"/>
      <c r="K6" s="29"/>
      <c r="L6" s="29"/>
      <c r="M6" s="29"/>
      <c r="N6" s="3">
        <f t="shared" si="1"/>
        <v>0</v>
      </c>
      <c r="O6" s="3"/>
      <c r="P6" s="28"/>
      <c r="Q6" s="7">
        <f t="shared" si="0"/>
        <v>0</v>
      </c>
    </row>
    <row r="7" spans="1:18" x14ac:dyDescent="0.25">
      <c r="A7" s="3">
        <v>5</v>
      </c>
      <c r="B7" s="3" t="s">
        <v>190</v>
      </c>
      <c r="C7" s="6"/>
      <c r="D7" s="6"/>
      <c r="E7" s="6"/>
      <c r="F7" s="29"/>
      <c r="G7" s="29"/>
      <c r="H7" s="29"/>
      <c r="I7" s="29"/>
      <c r="J7" s="29"/>
      <c r="K7" s="29"/>
      <c r="L7" s="29"/>
      <c r="M7" s="29"/>
      <c r="N7" s="3">
        <f t="shared" si="1"/>
        <v>0</v>
      </c>
      <c r="O7" s="3"/>
      <c r="P7" s="28"/>
      <c r="Q7" s="7">
        <f t="shared" si="0"/>
        <v>0</v>
      </c>
    </row>
    <row r="8" spans="1:18" x14ac:dyDescent="0.25">
      <c r="A8" s="3">
        <v>6</v>
      </c>
      <c r="B8" s="3" t="s">
        <v>191</v>
      </c>
      <c r="C8" s="6"/>
      <c r="D8" s="6"/>
      <c r="E8" s="6"/>
      <c r="F8" s="29"/>
      <c r="G8" s="29"/>
      <c r="H8" s="29"/>
      <c r="I8" s="29"/>
      <c r="J8" s="29"/>
      <c r="K8" s="29"/>
      <c r="L8" s="29"/>
      <c r="M8" s="29"/>
      <c r="N8" s="3">
        <f t="shared" si="1"/>
        <v>0</v>
      </c>
      <c r="O8" s="3"/>
      <c r="P8" s="28"/>
      <c r="Q8" s="7">
        <f t="shared" si="0"/>
        <v>0</v>
      </c>
    </row>
    <row r="9" spans="1:18" x14ac:dyDescent="0.25">
      <c r="A9" s="3">
        <v>7</v>
      </c>
      <c r="B9" s="3" t="s">
        <v>192</v>
      </c>
      <c r="C9" s="6"/>
      <c r="D9" s="6"/>
      <c r="E9" s="6"/>
      <c r="F9" s="29"/>
      <c r="G9" s="29"/>
      <c r="H9" s="29"/>
      <c r="I9" s="29"/>
      <c r="J9" s="29"/>
      <c r="K9" s="29"/>
      <c r="L9" s="29"/>
      <c r="M9" s="29"/>
      <c r="N9" s="3">
        <f t="shared" si="1"/>
        <v>0</v>
      </c>
      <c r="O9" s="3"/>
      <c r="P9" s="28"/>
      <c r="Q9" s="7">
        <f t="shared" si="0"/>
        <v>0</v>
      </c>
    </row>
    <row r="10" spans="1:18" x14ac:dyDescent="0.25">
      <c r="A10" s="3">
        <v>8</v>
      </c>
      <c r="B10" s="3" t="s">
        <v>193</v>
      </c>
      <c r="C10" s="6"/>
      <c r="D10" s="6"/>
      <c r="E10" s="6"/>
      <c r="F10" s="29"/>
      <c r="G10" s="29"/>
      <c r="H10" s="29"/>
      <c r="I10" s="29"/>
      <c r="J10" s="29"/>
      <c r="K10" s="29"/>
      <c r="L10" s="29"/>
      <c r="M10" s="29"/>
      <c r="N10" s="3">
        <f t="shared" si="1"/>
        <v>0</v>
      </c>
      <c r="O10" s="3"/>
      <c r="P10" s="28"/>
      <c r="Q10" s="7">
        <f t="shared" si="0"/>
        <v>0</v>
      </c>
    </row>
    <row r="11" spans="1:18" x14ac:dyDescent="0.25">
      <c r="A11" s="3">
        <v>9</v>
      </c>
      <c r="B11" s="3" t="s">
        <v>194</v>
      </c>
      <c r="C11" s="6"/>
      <c r="D11" s="6"/>
      <c r="E11" s="6"/>
      <c r="F11" s="29"/>
      <c r="G11" s="29"/>
      <c r="H11" s="29"/>
      <c r="I11" s="29"/>
      <c r="J11" s="29"/>
      <c r="K11" s="29"/>
      <c r="L11" s="29"/>
      <c r="M11" s="29"/>
      <c r="N11" s="3">
        <f t="shared" si="1"/>
        <v>0</v>
      </c>
      <c r="O11" s="3"/>
      <c r="P11" s="28"/>
      <c r="Q11" s="7">
        <f t="shared" si="0"/>
        <v>0</v>
      </c>
      <c r="R11" s="38"/>
    </row>
    <row r="12" spans="1:18" x14ac:dyDescent="0.25">
      <c r="A12" s="3">
        <v>10</v>
      </c>
      <c r="B12" s="3" t="s">
        <v>195</v>
      </c>
      <c r="C12" s="6"/>
      <c r="D12" s="6"/>
      <c r="E12" s="6"/>
      <c r="F12" s="29"/>
      <c r="G12" s="29"/>
      <c r="H12" s="29"/>
      <c r="I12" s="29"/>
      <c r="J12" s="29"/>
      <c r="K12" s="29"/>
      <c r="L12" s="29"/>
      <c r="M12" s="29"/>
      <c r="N12" s="3">
        <f t="shared" si="1"/>
        <v>0</v>
      </c>
      <c r="O12" s="3"/>
      <c r="P12" s="28"/>
      <c r="Q12" s="7">
        <f t="shared" si="0"/>
        <v>0</v>
      </c>
    </row>
    <row r="13" spans="1:18" x14ac:dyDescent="0.25">
      <c r="A13" s="3">
        <v>11</v>
      </c>
      <c r="B13" s="3" t="s">
        <v>196</v>
      </c>
      <c r="C13" s="6"/>
      <c r="D13" s="6"/>
      <c r="E13" s="6"/>
      <c r="F13" s="29"/>
      <c r="G13" s="29"/>
      <c r="H13" s="29"/>
      <c r="I13" s="29"/>
      <c r="J13" s="29"/>
      <c r="K13" s="29"/>
      <c r="L13" s="29"/>
      <c r="M13" s="29"/>
      <c r="N13" s="3">
        <f t="shared" si="1"/>
        <v>0</v>
      </c>
      <c r="O13" s="3"/>
      <c r="P13" s="28"/>
      <c r="Q13" s="7">
        <f t="shared" si="0"/>
        <v>0</v>
      </c>
    </row>
    <row r="14" spans="1:18" x14ac:dyDescent="0.25">
      <c r="A14" s="3">
        <v>12</v>
      </c>
      <c r="B14" s="3" t="s">
        <v>197</v>
      </c>
      <c r="C14" s="6"/>
      <c r="D14" s="6"/>
      <c r="E14" s="6"/>
      <c r="F14" s="29"/>
      <c r="G14" s="29"/>
      <c r="H14" s="29"/>
      <c r="I14" s="29"/>
      <c r="J14" s="29"/>
      <c r="K14" s="29"/>
      <c r="L14" s="29"/>
      <c r="M14" s="29"/>
      <c r="N14" s="3">
        <f t="shared" si="1"/>
        <v>0</v>
      </c>
      <c r="O14" s="3"/>
      <c r="P14" s="28"/>
      <c r="Q14" s="7">
        <f t="shared" si="0"/>
        <v>0</v>
      </c>
    </row>
    <row r="15" spans="1:18" x14ac:dyDescent="0.25">
      <c r="A15" s="3">
        <v>13</v>
      </c>
      <c r="B15" s="3" t="s">
        <v>198</v>
      </c>
      <c r="C15" s="6"/>
      <c r="D15" s="6"/>
      <c r="E15" s="6"/>
      <c r="F15" s="29"/>
      <c r="G15" s="29"/>
      <c r="H15" s="29"/>
      <c r="I15" s="29"/>
      <c r="J15" s="29"/>
      <c r="K15" s="29"/>
      <c r="L15" s="29"/>
      <c r="M15" s="29"/>
      <c r="N15" s="3">
        <f t="shared" si="1"/>
        <v>0</v>
      </c>
      <c r="O15" s="3"/>
      <c r="P15" s="28"/>
      <c r="Q15" s="7">
        <f t="shared" si="0"/>
        <v>0</v>
      </c>
    </row>
    <row r="16" spans="1:18" x14ac:dyDescent="0.25">
      <c r="A16" s="3">
        <v>14</v>
      </c>
      <c r="B16" s="3" t="s">
        <v>199</v>
      </c>
      <c r="C16" s="6"/>
      <c r="D16" s="6"/>
      <c r="E16" s="6"/>
      <c r="F16" s="29"/>
      <c r="G16" s="29"/>
      <c r="H16" s="29"/>
      <c r="I16" s="29"/>
      <c r="J16" s="29"/>
      <c r="K16" s="29"/>
      <c r="L16" s="29"/>
      <c r="M16" s="29"/>
      <c r="N16" s="3">
        <f t="shared" si="1"/>
        <v>0</v>
      </c>
      <c r="O16" s="3"/>
      <c r="P16" s="28"/>
      <c r="Q16" s="7">
        <f t="shared" si="0"/>
        <v>0</v>
      </c>
    </row>
    <row r="17" spans="1:17" x14ac:dyDescent="0.25">
      <c r="A17" s="3">
        <v>15</v>
      </c>
      <c r="B17" s="3" t="s">
        <v>200</v>
      </c>
      <c r="C17" s="6"/>
      <c r="D17" s="6"/>
      <c r="E17" s="6"/>
      <c r="F17" s="29"/>
      <c r="G17" s="29"/>
      <c r="H17" s="29"/>
      <c r="I17" s="29"/>
      <c r="J17" s="29"/>
      <c r="K17" s="29"/>
      <c r="L17" s="29"/>
      <c r="M17" s="29"/>
      <c r="N17" s="3">
        <f t="shared" si="1"/>
        <v>0</v>
      </c>
      <c r="O17" s="3"/>
      <c r="P17" s="28"/>
      <c r="Q17" s="7">
        <f t="shared" si="0"/>
        <v>0</v>
      </c>
    </row>
    <row r="18" spans="1:17" x14ac:dyDescent="0.25">
      <c r="A18" s="3">
        <v>16</v>
      </c>
      <c r="B18" s="3" t="s">
        <v>201</v>
      </c>
      <c r="C18" s="6"/>
      <c r="D18" s="6"/>
      <c r="E18" s="6"/>
      <c r="F18" s="29"/>
      <c r="G18" s="29"/>
      <c r="H18" s="29"/>
      <c r="I18" s="29"/>
      <c r="J18" s="29"/>
      <c r="K18" s="29"/>
      <c r="L18" s="29"/>
      <c r="M18" s="29"/>
      <c r="N18" s="3">
        <f t="shared" si="1"/>
        <v>0</v>
      </c>
      <c r="O18" s="3"/>
      <c r="P18" s="28"/>
      <c r="Q18" s="7">
        <f t="shared" si="0"/>
        <v>0</v>
      </c>
    </row>
    <row r="19" spans="1:17" x14ac:dyDescent="0.25">
      <c r="A19" s="3"/>
      <c r="B19" s="65" t="s">
        <v>124</v>
      </c>
      <c r="C19" s="65" t="s">
        <v>93</v>
      </c>
      <c r="D19" s="65" t="s">
        <v>94</v>
      </c>
      <c r="E19" s="65" t="s">
        <v>95</v>
      </c>
      <c r="F19" s="65" t="s">
        <v>96</v>
      </c>
      <c r="G19" s="65" t="s">
        <v>97</v>
      </c>
      <c r="H19" s="65" t="s">
        <v>98</v>
      </c>
      <c r="I19" s="65"/>
      <c r="J19" s="65"/>
      <c r="K19" s="65"/>
      <c r="L19" s="65"/>
      <c r="M19" s="65"/>
      <c r="N19" s="10" t="s">
        <v>0</v>
      </c>
      <c r="O19" s="10" t="s">
        <v>1</v>
      </c>
      <c r="P19" s="10" t="s">
        <v>47</v>
      </c>
      <c r="Q19" s="10" t="s">
        <v>12</v>
      </c>
    </row>
    <row r="20" spans="1:17" x14ac:dyDescent="0.25">
      <c r="A20" s="3">
        <v>1</v>
      </c>
      <c r="B20" s="3" t="s">
        <v>202</v>
      </c>
      <c r="C20" s="6"/>
      <c r="D20" s="6"/>
      <c r="E20" s="6"/>
      <c r="F20" s="29"/>
      <c r="G20" s="29"/>
      <c r="H20" s="29"/>
      <c r="I20" s="29"/>
      <c r="J20" s="29"/>
      <c r="K20" s="29"/>
      <c r="L20" s="29"/>
      <c r="M20" s="29"/>
      <c r="N20" s="3">
        <f t="shared" ref="N20:N35" si="2">SUM(C20:H20)</f>
        <v>0</v>
      </c>
      <c r="O20" s="3"/>
      <c r="P20" s="28"/>
      <c r="Q20" s="7">
        <f t="shared" ref="Q20:Q35" si="3">NormalizeResult($C$43,$D$43,$C$42,$D$42,$C$41,$D$41,N20)+O20+IF(P20&gt;$P$36,P20*$P$37,0)</f>
        <v>0</v>
      </c>
    </row>
    <row r="21" spans="1:17" x14ac:dyDescent="0.25">
      <c r="A21" s="3">
        <v>2</v>
      </c>
      <c r="B21" s="3" t="s">
        <v>203</v>
      </c>
      <c r="C21" s="6"/>
      <c r="D21" s="6"/>
      <c r="E21" s="6"/>
      <c r="F21" s="29"/>
      <c r="G21" s="29"/>
      <c r="H21" s="29"/>
      <c r="I21" s="29"/>
      <c r="J21" s="29"/>
      <c r="K21" s="29"/>
      <c r="L21" s="29"/>
      <c r="M21" s="29"/>
      <c r="N21" s="3">
        <f t="shared" si="2"/>
        <v>0</v>
      </c>
      <c r="O21" s="3"/>
      <c r="P21" s="28"/>
      <c r="Q21" s="7">
        <f t="shared" si="3"/>
        <v>0</v>
      </c>
    </row>
    <row r="22" spans="1:17" x14ac:dyDescent="0.25">
      <c r="A22" s="3">
        <v>3</v>
      </c>
      <c r="B22" s="3" t="s">
        <v>204</v>
      </c>
      <c r="C22" s="6"/>
      <c r="D22" s="6"/>
      <c r="E22" s="6"/>
      <c r="F22" s="29"/>
      <c r="G22" s="29"/>
      <c r="H22" s="29"/>
      <c r="I22" s="29"/>
      <c r="J22" s="29"/>
      <c r="K22" s="29"/>
      <c r="L22" s="29"/>
      <c r="M22" s="29"/>
      <c r="N22" s="3">
        <f t="shared" si="2"/>
        <v>0</v>
      </c>
      <c r="O22" s="3"/>
      <c r="P22" s="28"/>
      <c r="Q22" s="7">
        <f t="shared" si="3"/>
        <v>0</v>
      </c>
    </row>
    <row r="23" spans="1:17" x14ac:dyDescent="0.25">
      <c r="A23" s="3">
        <v>4</v>
      </c>
      <c r="B23" s="3" t="s">
        <v>205</v>
      </c>
      <c r="C23" s="6"/>
      <c r="D23" s="6"/>
      <c r="E23" s="6"/>
      <c r="F23" s="29"/>
      <c r="G23" s="29"/>
      <c r="H23" s="29"/>
      <c r="I23" s="29"/>
      <c r="J23" s="29"/>
      <c r="K23" s="29"/>
      <c r="L23" s="29"/>
      <c r="M23" s="29"/>
      <c r="N23" s="3">
        <f t="shared" si="2"/>
        <v>0</v>
      </c>
      <c r="O23" s="3"/>
      <c r="P23" s="28"/>
      <c r="Q23" s="7">
        <f t="shared" si="3"/>
        <v>0</v>
      </c>
    </row>
    <row r="24" spans="1:17" x14ac:dyDescent="0.25">
      <c r="A24" s="3">
        <v>5</v>
      </c>
      <c r="B24" s="3" t="s">
        <v>206</v>
      </c>
      <c r="C24" s="6"/>
      <c r="D24" s="6"/>
      <c r="E24" s="6"/>
      <c r="F24" s="29"/>
      <c r="G24" s="29"/>
      <c r="H24" s="29"/>
      <c r="I24" s="29"/>
      <c r="J24" s="29"/>
      <c r="K24" s="29"/>
      <c r="L24" s="29"/>
      <c r="M24" s="29"/>
      <c r="N24" s="3">
        <f t="shared" si="2"/>
        <v>0</v>
      </c>
      <c r="O24" s="3"/>
      <c r="P24" s="28"/>
      <c r="Q24" s="7">
        <f t="shared" si="3"/>
        <v>0</v>
      </c>
    </row>
    <row r="25" spans="1:17" x14ac:dyDescent="0.25">
      <c r="A25" s="3">
        <v>6</v>
      </c>
      <c r="B25" s="3" t="s">
        <v>207</v>
      </c>
      <c r="C25" s="6"/>
      <c r="D25" s="6"/>
      <c r="E25" s="6"/>
      <c r="F25" s="29"/>
      <c r="G25" s="29"/>
      <c r="H25" s="29"/>
      <c r="I25" s="29"/>
      <c r="J25" s="29"/>
      <c r="K25" s="29"/>
      <c r="L25" s="29"/>
      <c r="M25" s="29"/>
      <c r="N25" s="3">
        <f t="shared" si="2"/>
        <v>0</v>
      </c>
      <c r="O25" s="3"/>
      <c r="P25" s="28"/>
      <c r="Q25" s="7">
        <f t="shared" si="3"/>
        <v>0</v>
      </c>
    </row>
    <row r="26" spans="1:17" x14ac:dyDescent="0.25">
      <c r="A26" s="3">
        <v>7</v>
      </c>
      <c r="B26" s="3" t="s">
        <v>208</v>
      </c>
      <c r="C26" s="6"/>
      <c r="D26" s="6"/>
      <c r="E26" s="6"/>
      <c r="F26" s="29"/>
      <c r="G26" s="29"/>
      <c r="H26" s="29"/>
      <c r="I26" s="29"/>
      <c r="J26" s="29"/>
      <c r="K26" s="29"/>
      <c r="L26" s="29"/>
      <c r="M26" s="29"/>
      <c r="N26" s="3">
        <f t="shared" si="2"/>
        <v>0</v>
      </c>
      <c r="O26" s="3"/>
      <c r="P26" s="28"/>
      <c r="Q26" s="7">
        <f t="shared" si="3"/>
        <v>0</v>
      </c>
    </row>
    <row r="27" spans="1:17" x14ac:dyDescent="0.25">
      <c r="A27" s="3">
        <v>8</v>
      </c>
      <c r="B27" s="3" t="s">
        <v>209</v>
      </c>
      <c r="C27" s="6"/>
      <c r="D27" s="6"/>
      <c r="E27" s="6"/>
      <c r="F27" s="29"/>
      <c r="G27" s="29"/>
      <c r="H27" s="29"/>
      <c r="I27" s="29"/>
      <c r="J27" s="29"/>
      <c r="K27" s="29"/>
      <c r="L27" s="29"/>
      <c r="M27" s="29"/>
      <c r="N27" s="3">
        <f t="shared" si="2"/>
        <v>0</v>
      </c>
      <c r="O27" s="3"/>
      <c r="P27" s="28"/>
      <c r="Q27" s="7">
        <f t="shared" si="3"/>
        <v>0</v>
      </c>
    </row>
    <row r="28" spans="1:17" x14ac:dyDescent="0.25">
      <c r="A28" s="3">
        <v>9</v>
      </c>
      <c r="B28" s="3" t="s">
        <v>210</v>
      </c>
      <c r="C28" s="6"/>
      <c r="D28" s="6"/>
      <c r="E28" s="6"/>
      <c r="F28" s="29"/>
      <c r="G28" s="29"/>
      <c r="H28" s="29"/>
      <c r="I28" s="29"/>
      <c r="J28" s="29"/>
      <c r="K28" s="29"/>
      <c r="L28" s="29"/>
      <c r="M28" s="29"/>
      <c r="N28" s="3">
        <f t="shared" si="2"/>
        <v>0</v>
      </c>
      <c r="O28" s="3"/>
      <c r="P28" s="28"/>
      <c r="Q28" s="7">
        <f t="shared" si="3"/>
        <v>0</v>
      </c>
    </row>
    <row r="29" spans="1:17" x14ac:dyDescent="0.25">
      <c r="A29" s="3">
        <v>10</v>
      </c>
      <c r="B29" s="3" t="s">
        <v>211</v>
      </c>
      <c r="C29" s="6"/>
      <c r="D29" s="6"/>
      <c r="E29" s="6"/>
      <c r="F29" s="29"/>
      <c r="G29" s="29"/>
      <c r="H29" s="29"/>
      <c r="I29" s="29"/>
      <c r="J29" s="29"/>
      <c r="K29" s="29"/>
      <c r="L29" s="29"/>
      <c r="M29" s="29"/>
      <c r="N29" s="3">
        <f t="shared" si="2"/>
        <v>0</v>
      </c>
      <c r="O29" s="3"/>
      <c r="P29" s="28"/>
      <c r="Q29" s="7">
        <f t="shared" si="3"/>
        <v>0</v>
      </c>
    </row>
    <row r="30" spans="1:17" x14ac:dyDescent="0.25">
      <c r="A30" s="3">
        <v>11</v>
      </c>
      <c r="B30" s="3" t="s">
        <v>212</v>
      </c>
      <c r="C30" s="6"/>
      <c r="D30" s="6"/>
      <c r="E30" s="6"/>
      <c r="F30" s="29"/>
      <c r="G30" s="29"/>
      <c r="H30" s="29"/>
      <c r="I30" s="29"/>
      <c r="J30" s="29"/>
      <c r="K30" s="29"/>
      <c r="L30" s="29"/>
      <c r="M30" s="29"/>
      <c r="N30" s="3">
        <f t="shared" si="2"/>
        <v>0</v>
      </c>
      <c r="O30" s="3"/>
      <c r="P30" s="28"/>
      <c r="Q30" s="7">
        <f t="shared" si="3"/>
        <v>0</v>
      </c>
    </row>
    <row r="31" spans="1:17" x14ac:dyDescent="0.25">
      <c r="A31" s="3">
        <v>12</v>
      </c>
      <c r="B31" s="3" t="s">
        <v>213</v>
      </c>
      <c r="C31" s="6"/>
      <c r="D31" s="6"/>
      <c r="E31" s="6"/>
      <c r="F31" s="29"/>
      <c r="G31" s="29"/>
      <c r="H31" s="29"/>
      <c r="I31" s="29"/>
      <c r="J31" s="29"/>
      <c r="K31" s="29"/>
      <c r="L31" s="29"/>
      <c r="M31" s="29"/>
      <c r="N31" s="3">
        <f t="shared" si="2"/>
        <v>0</v>
      </c>
      <c r="O31" s="3"/>
      <c r="P31" s="28"/>
      <c r="Q31" s="7">
        <f t="shared" si="3"/>
        <v>0</v>
      </c>
    </row>
    <row r="32" spans="1:17" x14ac:dyDescent="0.25">
      <c r="A32" s="3">
        <v>13</v>
      </c>
      <c r="B32" s="3" t="s">
        <v>214</v>
      </c>
      <c r="C32" s="6"/>
      <c r="D32" s="6"/>
      <c r="E32" s="6"/>
      <c r="F32" s="29"/>
      <c r="G32" s="29"/>
      <c r="H32" s="29"/>
      <c r="I32" s="29"/>
      <c r="J32" s="29"/>
      <c r="K32" s="29"/>
      <c r="L32" s="29"/>
      <c r="M32" s="29"/>
      <c r="N32" s="3">
        <f t="shared" si="2"/>
        <v>0</v>
      </c>
      <c r="O32" s="3"/>
      <c r="P32" s="28"/>
      <c r="Q32" s="7">
        <f t="shared" si="3"/>
        <v>0</v>
      </c>
    </row>
    <row r="33" spans="1:17" x14ac:dyDescent="0.25">
      <c r="A33" s="3">
        <v>14</v>
      </c>
      <c r="B33" s="3" t="s">
        <v>215</v>
      </c>
      <c r="C33" s="6"/>
      <c r="D33" s="6"/>
      <c r="E33" s="6"/>
      <c r="F33" s="29"/>
      <c r="G33" s="29"/>
      <c r="H33" s="29"/>
      <c r="I33" s="29"/>
      <c r="J33" s="29"/>
      <c r="K33" s="29"/>
      <c r="L33" s="29"/>
      <c r="M33" s="29"/>
      <c r="N33" s="3">
        <f t="shared" si="2"/>
        <v>0</v>
      </c>
      <c r="O33" s="3"/>
      <c r="P33" s="28"/>
      <c r="Q33" s="7">
        <f t="shared" si="3"/>
        <v>0</v>
      </c>
    </row>
    <row r="34" spans="1:17" x14ac:dyDescent="0.25">
      <c r="A34" s="3">
        <v>15</v>
      </c>
      <c r="B34" s="3" t="s">
        <v>216</v>
      </c>
      <c r="C34" s="6"/>
      <c r="D34" s="6"/>
      <c r="E34" s="6"/>
      <c r="F34" s="29"/>
      <c r="G34" s="29"/>
      <c r="H34" s="29"/>
      <c r="I34" s="29"/>
      <c r="J34" s="29"/>
      <c r="K34" s="29"/>
      <c r="L34" s="29"/>
      <c r="M34" s="29"/>
      <c r="N34" s="3">
        <f t="shared" si="2"/>
        <v>0</v>
      </c>
      <c r="O34" s="3"/>
      <c r="P34" s="28"/>
      <c r="Q34" s="7">
        <f t="shared" si="3"/>
        <v>0</v>
      </c>
    </row>
    <row r="35" spans="1:17" x14ac:dyDescent="0.25">
      <c r="A35" s="3">
        <v>16</v>
      </c>
      <c r="B35" s="3" t="s">
        <v>217</v>
      </c>
      <c r="C35" s="6"/>
      <c r="D35" s="6"/>
      <c r="E35" s="6"/>
      <c r="F35" s="29"/>
      <c r="G35" s="29"/>
      <c r="H35" s="29"/>
      <c r="I35" s="29"/>
      <c r="J35" s="29"/>
      <c r="K35" s="29"/>
      <c r="L35" s="29"/>
      <c r="M35" s="29"/>
      <c r="N35" s="3">
        <f t="shared" si="2"/>
        <v>0</v>
      </c>
      <c r="O35" s="3"/>
      <c r="P35" s="28"/>
      <c r="Q35" s="7">
        <f t="shared" si="3"/>
        <v>0</v>
      </c>
    </row>
    <row r="36" spans="1:17" x14ac:dyDescent="0.25">
      <c r="B36" s="1" t="s">
        <v>18</v>
      </c>
      <c r="C36">
        <v>100</v>
      </c>
      <c r="D36">
        <v>100</v>
      </c>
      <c r="E36">
        <v>200</v>
      </c>
      <c r="F36">
        <v>80</v>
      </c>
      <c r="G36">
        <v>250</v>
      </c>
      <c r="H36">
        <v>50</v>
      </c>
      <c r="P36" s="22">
        <v>0.6</v>
      </c>
    </row>
    <row r="37" spans="1:17" x14ac:dyDescent="0.25">
      <c r="O37" t="s">
        <v>48</v>
      </c>
      <c r="P37" s="27">
        <v>0.2</v>
      </c>
    </row>
    <row r="40" spans="1:17" x14ac:dyDescent="0.25">
      <c r="C40" t="s">
        <v>16</v>
      </c>
      <c r="D40" t="s">
        <v>17</v>
      </c>
      <c r="N40" s="11"/>
    </row>
    <row r="41" spans="1:17" x14ac:dyDescent="0.25">
      <c r="B41" t="s">
        <v>13</v>
      </c>
      <c r="C41">
        <v>400</v>
      </c>
      <c r="D41">
        <v>12</v>
      </c>
      <c r="N41" s="12"/>
    </row>
    <row r="42" spans="1:17" x14ac:dyDescent="0.25">
      <c r="B42" t="s">
        <v>14</v>
      </c>
      <c r="C42">
        <v>150</v>
      </c>
      <c r="D42">
        <f>(D41-D43)*0.5+D43</f>
        <v>10</v>
      </c>
    </row>
    <row r="43" spans="1:17" x14ac:dyDescent="0.25">
      <c r="B43" t="s">
        <v>15</v>
      </c>
      <c r="C43">
        <v>70</v>
      </c>
      <c r="D43">
        <v>8</v>
      </c>
    </row>
    <row r="46" spans="1:17" x14ac:dyDescent="0.25">
      <c r="B46" s="68" t="s">
        <v>170</v>
      </c>
    </row>
    <row r="47" spans="1:17" x14ac:dyDescent="0.25">
      <c r="B47" s="69" t="s">
        <v>171</v>
      </c>
    </row>
    <row r="48" spans="1:17" x14ac:dyDescent="0.25">
      <c r="B48" s="69" t="s">
        <v>172</v>
      </c>
    </row>
    <row r="49" spans="2:2" x14ac:dyDescent="0.25">
      <c r="B49" s="69" t="s">
        <v>173</v>
      </c>
    </row>
    <row r="50" spans="2:2" x14ac:dyDescent="0.25">
      <c r="B50" s="69" t="s">
        <v>174</v>
      </c>
    </row>
    <row r="51" spans="2:2" x14ac:dyDescent="0.25">
      <c r="B51" s="69" t="s">
        <v>175</v>
      </c>
    </row>
    <row r="53" spans="2:2" x14ac:dyDescent="0.25">
      <c r="B53" s="68" t="s">
        <v>176</v>
      </c>
    </row>
    <row r="54" spans="2:2" x14ac:dyDescent="0.25">
      <c r="B54" s="69" t="s">
        <v>177</v>
      </c>
    </row>
    <row r="55" spans="2:2" x14ac:dyDescent="0.25">
      <c r="B55" s="69" t="s">
        <v>178</v>
      </c>
    </row>
    <row r="56" spans="2:2" x14ac:dyDescent="0.25">
      <c r="B56" s="69" t="s">
        <v>174</v>
      </c>
    </row>
    <row r="57" spans="2:2" x14ac:dyDescent="0.25">
      <c r="B57" s="69" t="s">
        <v>175</v>
      </c>
    </row>
  </sheetData>
  <pageMargins left="0.7" right="0.7" top="0.75" bottom="0.75" header="0.3" footer="0.3"/>
  <pageSetup paperSize="9" orientation="portrait" horizontalDpi="180" verticalDpi="18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9"/>
  <sheetViews>
    <sheetView topLeftCell="A22" workbookViewId="0">
      <selection activeCell="J3" sqref="J3:M25"/>
    </sheetView>
  </sheetViews>
  <sheetFormatPr defaultRowHeight="15" x14ac:dyDescent="0.25"/>
  <cols>
    <col min="2" max="2" width="34.7109375" customWidth="1"/>
    <col min="3" max="3" width="20.28515625" customWidth="1"/>
    <col min="4" max="4" width="14.140625" customWidth="1"/>
    <col min="5" max="5" width="13.7109375" customWidth="1"/>
    <col min="6" max="9" width="19.140625" customWidth="1"/>
    <col min="10" max="11" width="10.28515625" bestFit="1" customWidth="1"/>
    <col min="12" max="12" width="10.28515625" customWidth="1"/>
    <col min="13" max="13" width="11.85546875" customWidth="1"/>
    <col min="14" max="18" width="10.28515625" bestFit="1" customWidth="1"/>
  </cols>
  <sheetData>
    <row r="1" spans="1:14" x14ac:dyDescent="0.25">
      <c r="B1" t="s">
        <v>337</v>
      </c>
    </row>
    <row r="2" spans="1:14" x14ac:dyDescent="0.25">
      <c r="A2" s="67"/>
      <c r="B2" s="65" t="s">
        <v>20</v>
      </c>
      <c r="C2" s="65" t="s">
        <v>84</v>
      </c>
      <c r="D2" s="65" t="s">
        <v>85</v>
      </c>
      <c r="E2" s="65" t="s">
        <v>86</v>
      </c>
      <c r="F2" s="65" t="s">
        <v>87</v>
      </c>
      <c r="G2" s="65" t="s">
        <v>88</v>
      </c>
      <c r="H2" s="65" t="s">
        <v>89</v>
      </c>
      <c r="I2" s="65" t="s">
        <v>90</v>
      </c>
      <c r="J2" s="10" t="s">
        <v>0</v>
      </c>
      <c r="K2" s="10" t="s">
        <v>1</v>
      </c>
      <c r="L2" s="10" t="s">
        <v>47</v>
      </c>
      <c r="M2" s="10" t="s">
        <v>12</v>
      </c>
    </row>
    <row r="3" spans="1:14" x14ac:dyDescent="0.25">
      <c r="A3" s="67">
        <v>1</v>
      </c>
      <c r="B3" s="3" t="s">
        <v>331</v>
      </c>
      <c r="C3" s="6"/>
      <c r="D3" s="6"/>
      <c r="E3" s="29"/>
      <c r="F3" s="29"/>
      <c r="G3" s="29"/>
      <c r="H3" s="29"/>
      <c r="I3" s="29"/>
      <c r="J3" s="3">
        <f>SUM(C3:D3)+SUM(E3:H3)*IF(I3&lt;&gt;"",I3,1)</f>
        <v>0</v>
      </c>
      <c r="K3" s="3"/>
      <c r="L3" s="28"/>
      <c r="M3" s="7">
        <f>NormalizeResult($C$50,$D$50,$C$49,$D$49,$C$48,$D$48,J3)+K3+IF(L3&gt;$L$43,L3*$L$44,0)</f>
        <v>0</v>
      </c>
    </row>
    <row r="4" spans="1:14" x14ac:dyDescent="0.25">
      <c r="A4" s="67">
        <v>2</v>
      </c>
      <c r="B4" s="3" t="s">
        <v>324</v>
      </c>
      <c r="C4" s="6"/>
      <c r="D4" s="6"/>
      <c r="E4" s="29"/>
      <c r="F4" s="29"/>
      <c r="G4" s="29"/>
      <c r="H4" s="29"/>
      <c r="I4" s="29"/>
      <c r="J4" s="3">
        <f t="shared" ref="J4:J25" si="0">SUM(C4:D4)+SUM(E4:H4)*IF(I4&lt;&gt;"",I4,1)</f>
        <v>0</v>
      </c>
      <c r="K4" s="3"/>
      <c r="L4" s="28"/>
      <c r="M4" s="7">
        <f t="shared" ref="M4:M25" si="1">NormalizeResult($C$50,$D$50,$C$49,$D$49,$C$48,$D$48,J4)+K4+IF(L4&gt;$L$43,L4*$L$44,0)</f>
        <v>0</v>
      </c>
    </row>
    <row r="5" spans="1:14" x14ac:dyDescent="0.25">
      <c r="A5" s="67">
        <v>3</v>
      </c>
      <c r="B5" s="3" t="s">
        <v>336</v>
      </c>
      <c r="C5" s="6"/>
      <c r="D5" s="6"/>
      <c r="E5" s="29"/>
      <c r="F5" s="29"/>
      <c r="G5" s="29"/>
      <c r="H5" s="29"/>
      <c r="I5" s="29"/>
      <c r="J5" s="3">
        <f t="shared" si="0"/>
        <v>0</v>
      </c>
      <c r="K5" s="3"/>
      <c r="L5" s="28"/>
      <c r="M5" s="7">
        <f t="shared" si="1"/>
        <v>0</v>
      </c>
    </row>
    <row r="6" spans="1:14" x14ac:dyDescent="0.25">
      <c r="A6" s="67">
        <v>4</v>
      </c>
      <c r="B6" s="3" t="s">
        <v>327</v>
      </c>
      <c r="C6" s="6"/>
      <c r="D6" s="6"/>
      <c r="E6" s="29"/>
      <c r="F6" s="29"/>
      <c r="G6" s="29"/>
      <c r="H6" s="29"/>
      <c r="I6" s="29"/>
      <c r="J6" s="3">
        <f t="shared" si="0"/>
        <v>0</v>
      </c>
      <c r="K6" s="3"/>
      <c r="L6" s="28"/>
      <c r="M6" s="7">
        <f t="shared" si="1"/>
        <v>0</v>
      </c>
    </row>
    <row r="7" spans="1:14" x14ac:dyDescent="0.25">
      <c r="A7" s="67">
        <v>5</v>
      </c>
      <c r="B7" s="3" t="s">
        <v>330</v>
      </c>
      <c r="C7" s="6"/>
      <c r="D7" s="6"/>
      <c r="E7" s="29"/>
      <c r="F7" s="29"/>
      <c r="G7" s="29"/>
      <c r="H7" s="29"/>
      <c r="I7" s="29"/>
      <c r="J7" s="3">
        <f t="shared" si="0"/>
        <v>0</v>
      </c>
      <c r="K7" s="3"/>
      <c r="L7" s="28"/>
      <c r="M7" s="7">
        <f t="shared" si="1"/>
        <v>0</v>
      </c>
    </row>
    <row r="8" spans="1:14" x14ac:dyDescent="0.25">
      <c r="A8" s="67">
        <v>6</v>
      </c>
      <c r="B8" s="3" t="s">
        <v>325</v>
      </c>
      <c r="C8" s="6"/>
      <c r="D8" s="6"/>
      <c r="E8" s="29"/>
      <c r="F8" s="29"/>
      <c r="G8" s="29"/>
      <c r="H8" s="29"/>
      <c r="I8" s="29"/>
      <c r="J8" s="3">
        <f t="shared" si="0"/>
        <v>0</v>
      </c>
      <c r="K8" s="3"/>
      <c r="L8" s="28"/>
      <c r="M8" s="7">
        <f t="shared" si="1"/>
        <v>0</v>
      </c>
    </row>
    <row r="9" spans="1:14" x14ac:dyDescent="0.25">
      <c r="A9" s="67">
        <v>7</v>
      </c>
      <c r="B9" s="3" t="s">
        <v>320</v>
      </c>
      <c r="C9" s="6"/>
      <c r="D9" s="6"/>
      <c r="E9" s="29"/>
      <c r="F9" s="29"/>
      <c r="G9" s="29"/>
      <c r="H9" s="29"/>
      <c r="I9" s="29"/>
      <c r="J9" s="3">
        <f t="shared" si="0"/>
        <v>0</v>
      </c>
      <c r="K9" s="3"/>
      <c r="L9" s="28"/>
      <c r="M9" s="7">
        <f t="shared" si="1"/>
        <v>0</v>
      </c>
    </row>
    <row r="10" spans="1:14" x14ac:dyDescent="0.25">
      <c r="A10" s="67">
        <v>8</v>
      </c>
      <c r="B10" s="3" t="s">
        <v>335</v>
      </c>
      <c r="C10" s="6"/>
      <c r="D10" s="6"/>
      <c r="E10" s="29"/>
      <c r="F10" s="29"/>
      <c r="G10" s="29"/>
      <c r="H10" s="29"/>
      <c r="I10" s="29"/>
      <c r="J10" s="3">
        <f t="shared" si="0"/>
        <v>0</v>
      </c>
      <c r="K10" s="3"/>
      <c r="L10" s="28"/>
      <c r="M10" s="7">
        <f t="shared" si="1"/>
        <v>0</v>
      </c>
    </row>
    <row r="11" spans="1:14" x14ac:dyDescent="0.25">
      <c r="A11" s="67">
        <v>9</v>
      </c>
      <c r="B11" s="3" t="s">
        <v>321</v>
      </c>
      <c r="C11" s="6"/>
      <c r="D11" s="6"/>
      <c r="E11" s="29"/>
      <c r="F11" s="29"/>
      <c r="G11" s="29"/>
      <c r="H11" s="29"/>
      <c r="I11" s="29"/>
      <c r="J11" s="3">
        <f t="shared" si="0"/>
        <v>0</v>
      </c>
      <c r="K11" s="3"/>
      <c r="L11" s="28"/>
      <c r="M11" s="7">
        <f t="shared" si="1"/>
        <v>0</v>
      </c>
      <c r="N11" s="38"/>
    </row>
    <row r="12" spans="1:14" x14ac:dyDescent="0.25">
      <c r="A12" s="67">
        <v>10</v>
      </c>
      <c r="B12" s="3" t="s">
        <v>314</v>
      </c>
      <c r="C12" s="6"/>
      <c r="D12" s="6"/>
      <c r="E12" s="29"/>
      <c r="F12" s="29"/>
      <c r="G12" s="29"/>
      <c r="H12" s="29"/>
      <c r="I12" s="29"/>
      <c r="J12" s="3">
        <f t="shared" si="0"/>
        <v>0</v>
      </c>
      <c r="K12" s="3"/>
      <c r="L12" s="28"/>
      <c r="M12" s="7">
        <f t="shared" si="1"/>
        <v>0</v>
      </c>
    </row>
    <row r="13" spans="1:14" x14ac:dyDescent="0.25">
      <c r="A13" s="67">
        <v>11</v>
      </c>
      <c r="B13" s="3" t="s">
        <v>316</v>
      </c>
      <c r="C13" s="6"/>
      <c r="D13" s="6"/>
      <c r="E13" s="29"/>
      <c r="F13" s="29"/>
      <c r="G13" s="29"/>
      <c r="H13" s="29"/>
      <c r="I13" s="29"/>
      <c r="J13" s="3">
        <f t="shared" si="0"/>
        <v>0</v>
      </c>
      <c r="K13" s="3"/>
      <c r="L13" s="28"/>
      <c r="M13" s="7">
        <f t="shared" si="1"/>
        <v>0</v>
      </c>
    </row>
    <row r="14" spans="1:14" x14ac:dyDescent="0.25">
      <c r="A14" s="67">
        <v>12</v>
      </c>
      <c r="B14" s="3" t="s">
        <v>328</v>
      </c>
      <c r="C14" s="6"/>
      <c r="D14" s="6"/>
      <c r="E14" s="29"/>
      <c r="F14" s="29"/>
      <c r="G14" s="29"/>
      <c r="H14" s="29"/>
      <c r="I14" s="29"/>
      <c r="J14" s="3">
        <f t="shared" si="0"/>
        <v>0</v>
      </c>
      <c r="K14" s="3"/>
      <c r="L14" s="28"/>
      <c r="M14" s="7">
        <f t="shared" si="1"/>
        <v>0</v>
      </c>
    </row>
    <row r="15" spans="1:14" x14ac:dyDescent="0.25">
      <c r="A15" s="67">
        <v>13</v>
      </c>
      <c r="B15" s="3" t="s">
        <v>322</v>
      </c>
      <c r="C15" s="6"/>
      <c r="D15" s="6"/>
      <c r="E15" s="29"/>
      <c r="F15" s="29"/>
      <c r="G15" s="29"/>
      <c r="H15" s="29"/>
      <c r="I15" s="29"/>
      <c r="J15" s="3">
        <f t="shared" si="0"/>
        <v>0</v>
      </c>
      <c r="K15" s="3"/>
      <c r="L15" s="28"/>
      <c r="M15" s="7">
        <f t="shared" si="1"/>
        <v>0</v>
      </c>
    </row>
    <row r="16" spans="1:14" x14ac:dyDescent="0.25">
      <c r="A16" s="67">
        <v>14</v>
      </c>
      <c r="B16" s="3" t="s">
        <v>332</v>
      </c>
      <c r="C16" s="6"/>
      <c r="D16" s="6"/>
      <c r="E16" s="29"/>
      <c r="F16" s="29"/>
      <c r="G16" s="29"/>
      <c r="H16" s="29"/>
      <c r="I16" s="29"/>
      <c r="J16" s="3">
        <f t="shared" si="0"/>
        <v>0</v>
      </c>
      <c r="K16" s="3"/>
      <c r="L16" s="28"/>
      <c r="M16" s="7">
        <f t="shared" si="1"/>
        <v>0</v>
      </c>
    </row>
    <row r="17" spans="1:13" x14ac:dyDescent="0.25">
      <c r="A17" s="67">
        <v>15</v>
      </c>
      <c r="B17" s="3" t="s">
        <v>329</v>
      </c>
      <c r="C17" s="6"/>
      <c r="D17" s="6"/>
      <c r="E17" s="29"/>
      <c r="F17" s="29"/>
      <c r="G17" s="29"/>
      <c r="H17" s="29"/>
      <c r="I17" s="29"/>
      <c r="J17" s="3">
        <f t="shared" si="0"/>
        <v>0</v>
      </c>
      <c r="K17" s="3"/>
      <c r="L17" s="28"/>
      <c r="M17" s="7">
        <f t="shared" si="1"/>
        <v>0</v>
      </c>
    </row>
    <row r="18" spans="1:13" x14ac:dyDescent="0.25">
      <c r="A18" s="67">
        <v>16</v>
      </c>
      <c r="B18" s="3" t="s">
        <v>318</v>
      </c>
      <c r="C18" s="6"/>
      <c r="D18" s="6"/>
      <c r="E18" s="29"/>
      <c r="F18" s="29"/>
      <c r="G18" s="29"/>
      <c r="H18" s="29"/>
      <c r="I18" s="29"/>
      <c r="J18" s="3">
        <f t="shared" si="0"/>
        <v>0</v>
      </c>
      <c r="K18" s="3"/>
      <c r="L18" s="28"/>
      <c r="M18" s="7">
        <f t="shared" si="1"/>
        <v>0</v>
      </c>
    </row>
    <row r="19" spans="1:13" x14ac:dyDescent="0.25">
      <c r="A19" s="67">
        <v>17</v>
      </c>
      <c r="B19" s="3" t="s">
        <v>334</v>
      </c>
      <c r="C19" s="6"/>
      <c r="D19" s="6"/>
      <c r="E19" s="29"/>
      <c r="F19" s="29"/>
      <c r="G19" s="29"/>
      <c r="H19" s="29"/>
      <c r="I19" s="29"/>
      <c r="J19" s="3">
        <f t="shared" si="0"/>
        <v>0</v>
      </c>
      <c r="K19" s="3"/>
      <c r="L19" s="28"/>
      <c r="M19" s="7">
        <f t="shared" si="1"/>
        <v>0</v>
      </c>
    </row>
    <row r="20" spans="1:13" x14ac:dyDescent="0.25">
      <c r="A20" s="67">
        <v>18</v>
      </c>
      <c r="B20" s="3" t="s">
        <v>319</v>
      </c>
      <c r="C20" s="6"/>
      <c r="D20" s="6"/>
      <c r="E20" s="29"/>
      <c r="F20" s="29"/>
      <c r="G20" s="29"/>
      <c r="H20" s="29"/>
      <c r="I20" s="29"/>
      <c r="J20" s="3">
        <f t="shared" si="0"/>
        <v>0</v>
      </c>
      <c r="K20" s="3"/>
      <c r="L20" s="28"/>
      <c r="M20" s="7">
        <f t="shared" si="1"/>
        <v>0</v>
      </c>
    </row>
    <row r="21" spans="1:13" x14ac:dyDescent="0.25">
      <c r="A21" s="67">
        <v>19</v>
      </c>
      <c r="B21" s="3" t="s">
        <v>323</v>
      </c>
      <c r="C21" s="6"/>
      <c r="D21" s="6"/>
      <c r="E21" s="29"/>
      <c r="F21" s="29"/>
      <c r="G21" s="29"/>
      <c r="H21" s="29"/>
      <c r="I21" s="29"/>
      <c r="J21" s="3">
        <f t="shared" si="0"/>
        <v>0</v>
      </c>
      <c r="K21" s="3"/>
      <c r="L21" s="28"/>
      <c r="M21" s="7">
        <f t="shared" si="1"/>
        <v>0</v>
      </c>
    </row>
    <row r="22" spans="1:13" x14ac:dyDescent="0.25">
      <c r="A22" s="67">
        <v>20</v>
      </c>
      <c r="B22" s="3" t="s">
        <v>315</v>
      </c>
      <c r="C22" s="6"/>
      <c r="D22" s="6"/>
      <c r="E22" s="29"/>
      <c r="F22" s="29"/>
      <c r="G22" s="29"/>
      <c r="H22" s="29"/>
      <c r="I22" s="29"/>
      <c r="J22" s="3">
        <f t="shared" si="0"/>
        <v>0</v>
      </c>
      <c r="K22" s="3"/>
      <c r="L22" s="28"/>
      <c r="M22" s="7">
        <f t="shared" si="1"/>
        <v>0</v>
      </c>
    </row>
    <row r="23" spans="1:13" x14ac:dyDescent="0.25">
      <c r="A23" s="67">
        <v>21</v>
      </c>
      <c r="B23" s="3" t="s">
        <v>326</v>
      </c>
      <c r="C23" s="6"/>
      <c r="D23" s="6"/>
      <c r="E23" s="29"/>
      <c r="F23" s="29"/>
      <c r="G23" s="29"/>
      <c r="H23" s="29"/>
      <c r="I23" s="29"/>
      <c r="J23" s="3">
        <f t="shared" si="0"/>
        <v>0</v>
      </c>
      <c r="K23" s="3"/>
      <c r="L23" s="28"/>
      <c r="M23" s="7">
        <f t="shared" si="1"/>
        <v>0</v>
      </c>
    </row>
    <row r="24" spans="1:13" x14ac:dyDescent="0.25">
      <c r="A24" s="67">
        <v>22</v>
      </c>
      <c r="B24" s="3" t="s">
        <v>317</v>
      </c>
      <c r="C24" s="6"/>
      <c r="D24" s="6"/>
      <c r="E24" s="29"/>
      <c r="F24" s="29"/>
      <c r="G24" s="29"/>
      <c r="H24" s="29"/>
      <c r="I24" s="29"/>
      <c r="J24" s="3">
        <f t="shared" si="0"/>
        <v>0</v>
      </c>
      <c r="K24" s="3"/>
      <c r="L24" s="28"/>
      <c r="M24" s="7">
        <f t="shared" si="1"/>
        <v>0</v>
      </c>
    </row>
    <row r="25" spans="1:13" x14ac:dyDescent="0.25">
      <c r="A25" s="67">
        <v>23</v>
      </c>
      <c r="B25" s="3" t="s">
        <v>333</v>
      </c>
      <c r="C25" s="6"/>
      <c r="D25" s="6"/>
      <c r="E25" s="29"/>
      <c r="F25" s="29"/>
      <c r="G25" s="29"/>
      <c r="H25" s="29"/>
      <c r="I25" s="29"/>
      <c r="J25" s="3">
        <f t="shared" si="0"/>
        <v>0</v>
      </c>
      <c r="K25" s="3"/>
      <c r="L25" s="28"/>
      <c r="M25" s="7">
        <f t="shared" si="1"/>
        <v>0</v>
      </c>
    </row>
    <row r="26" spans="1:13" x14ac:dyDescent="0.25">
      <c r="A26" s="67"/>
      <c r="B26" s="65" t="s">
        <v>124</v>
      </c>
      <c r="C26" s="65" t="s">
        <v>84</v>
      </c>
      <c r="D26" s="65" t="s">
        <v>85</v>
      </c>
      <c r="E26" s="65" t="s">
        <v>86</v>
      </c>
      <c r="F26" s="65" t="s">
        <v>87</v>
      </c>
      <c r="G26" s="65" t="s">
        <v>88</v>
      </c>
      <c r="H26" s="65" t="s">
        <v>89</v>
      </c>
      <c r="I26" s="65" t="s">
        <v>90</v>
      </c>
      <c r="J26" s="10" t="s">
        <v>0</v>
      </c>
      <c r="K26" s="10" t="s">
        <v>1</v>
      </c>
      <c r="L26" s="10" t="s">
        <v>47</v>
      </c>
      <c r="M26" s="10" t="s">
        <v>12</v>
      </c>
    </row>
    <row r="27" spans="1:13" x14ac:dyDescent="0.25">
      <c r="A27" s="67">
        <v>1</v>
      </c>
      <c r="B27" s="3" t="s">
        <v>280</v>
      </c>
      <c r="C27" s="6"/>
      <c r="D27" s="6"/>
      <c r="E27" s="29"/>
      <c r="F27" s="29"/>
      <c r="G27" s="29"/>
      <c r="H27" s="29"/>
      <c r="I27" s="29"/>
      <c r="J27" s="3">
        <f t="shared" ref="J27:J42" si="2">SUM(C27:D27)+SUM(E27:H27)*IF(I27&lt;&gt;"",I27,1)</f>
        <v>0</v>
      </c>
      <c r="K27" s="3"/>
      <c r="L27" s="28"/>
      <c r="M27" s="7">
        <f t="shared" ref="M27:M42" si="3">NormalizeResult($C$50,$D$50,$C$49,$D$49,$C$48,$D$48,J27)+K27+IF(L27&gt;$L$43,L27*$L$44,0)</f>
        <v>0</v>
      </c>
    </row>
    <row r="28" spans="1:13" x14ac:dyDescent="0.25">
      <c r="A28" s="67">
        <v>2</v>
      </c>
      <c r="B28" s="3" t="s">
        <v>284</v>
      </c>
      <c r="C28" s="6"/>
      <c r="D28" s="6"/>
      <c r="E28" s="29"/>
      <c r="F28" s="29"/>
      <c r="G28" s="29"/>
      <c r="H28" s="29"/>
      <c r="I28" s="29"/>
      <c r="J28" s="3">
        <f t="shared" si="2"/>
        <v>0</v>
      </c>
      <c r="K28" s="3"/>
      <c r="L28" s="28"/>
      <c r="M28" s="7">
        <f t="shared" si="3"/>
        <v>0</v>
      </c>
    </row>
    <row r="29" spans="1:13" x14ac:dyDescent="0.25">
      <c r="A29" s="67">
        <v>3</v>
      </c>
      <c r="B29" s="3" t="s">
        <v>289</v>
      </c>
      <c r="C29" s="6"/>
      <c r="D29" s="6"/>
      <c r="E29" s="29"/>
      <c r="F29" s="29"/>
      <c r="G29" s="29"/>
      <c r="H29" s="29"/>
      <c r="I29" s="29"/>
      <c r="J29" s="3">
        <f t="shared" si="2"/>
        <v>0</v>
      </c>
      <c r="K29" s="3"/>
      <c r="L29" s="28"/>
      <c r="M29" s="7">
        <f t="shared" si="3"/>
        <v>0</v>
      </c>
    </row>
    <row r="30" spans="1:13" x14ac:dyDescent="0.25">
      <c r="A30" s="67">
        <v>4</v>
      </c>
      <c r="B30" s="3" t="s">
        <v>290</v>
      </c>
      <c r="C30" s="6"/>
      <c r="D30" s="6"/>
      <c r="E30" s="29"/>
      <c r="F30" s="29"/>
      <c r="G30" s="29"/>
      <c r="H30" s="29"/>
      <c r="I30" s="29"/>
      <c r="J30" s="3">
        <f t="shared" si="2"/>
        <v>0</v>
      </c>
      <c r="K30" s="3"/>
      <c r="L30" s="28"/>
      <c r="M30" s="7">
        <f t="shared" si="3"/>
        <v>0</v>
      </c>
    </row>
    <row r="31" spans="1:13" x14ac:dyDescent="0.25">
      <c r="A31" s="67">
        <v>5</v>
      </c>
      <c r="B31" s="3" t="s">
        <v>281</v>
      </c>
      <c r="C31" s="6"/>
      <c r="D31" s="6"/>
      <c r="E31" s="29"/>
      <c r="F31" s="29"/>
      <c r="G31" s="29"/>
      <c r="H31" s="29"/>
      <c r="I31" s="29"/>
      <c r="J31" s="3">
        <f t="shared" si="2"/>
        <v>0</v>
      </c>
      <c r="K31" s="3"/>
      <c r="L31" s="28"/>
      <c r="M31" s="7">
        <f t="shared" si="3"/>
        <v>0</v>
      </c>
    </row>
    <row r="32" spans="1:13" x14ac:dyDescent="0.25">
      <c r="A32" s="67">
        <v>6</v>
      </c>
      <c r="B32" s="3" t="s">
        <v>279</v>
      </c>
      <c r="C32" s="6"/>
      <c r="D32" s="6"/>
      <c r="E32" s="29"/>
      <c r="F32" s="29"/>
      <c r="G32" s="29"/>
      <c r="H32" s="29"/>
      <c r="I32" s="29"/>
      <c r="J32" s="3">
        <f t="shared" si="2"/>
        <v>0</v>
      </c>
      <c r="K32" s="3"/>
      <c r="L32" s="28"/>
      <c r="M32" s="7">
        <f t="shared" si="3"/>
        <v>0</v>
      </c>
    </row>
    <row r="33" spans="1:13" x14ac:dyDescent="0.25">
      <c r="A33" s="67">
        <v>7</v>
      </c>
      <c r="B33" s="3" t="s">
        <v>282</v>
      </c>
      <c r="C33" s="6"/>
      <c r="D33" s="6"/>
      <c r="E33" s="29"/>
      <c r="F33" s="29"/>
      <c r="G33" s="29"/>
      <c r="H33" s="29"/>
      <c r="I33" s="29"/>
      <c r="J33" s="3">
        <f t="shared" si="2"/>
        <v>0</v>
      </c>
      <c r="K33" s="3"/>
      <c r="L33" s="28"/>
      <c r="M33" s="7">
        <f t="shared" si="3"/>
        <v>0</v>
      </c>
    </row>
    <row r="34" spans="1:13" x14ac:dyDescent="0.25">
      <c r="A34" s="67">
        <v>8</v>
      </c>
      <c r="B34" s="3" t="s">
        <v>285</v>
      </c>
      <c r="C34" s="6"/>
      <c r="D34" s="6"/>
      <c r="E34" s="29"/>
      <c r="F34" s="29"/>
      <c r="G34" s="29"/>
      <c r="H34" s="29"/>
      <c r="I34" s="29"/>
      <c r="J34" s="3">
        <f t="shared" si="2"/>
        <v>0</v>
      </c>
      <c r="K34" s="3"/>
      <c r="L34" s="28"/>
      <c r="M34" s="7">
        <f t="shared" si="3"/>
        <v>0</v>
      </c>
    </row>
    <row r="35" spans="1:13" x14ac:dyDescent="0.25">
      <c r="A35" s="67">
        <v>9</v>
      </c>
      <c r="B35" s="3" t="s">
        <v>291</v>
      </c>
      <c r="C35" s="6"/>
      <c r="D35" s="6"/>
      <c r="E35" s="29"/>
      <c r="F35" s="29"/>
      <c r="G35" s="29"/>
      <c r="H35" s="29"/>
      <c r="I35" s="29"/>
      <c r="J35" s="3">
        <f t="shared" si="2"/>
        <v>0</v>
      </c>
      <c r="K35" s="3"/>
      <c r="L35" s="28"/>
      <c r="M35" s="7">
        <f t="shared" si="3"/>
        <v>0</v>
      </c>
    </row>
    <row r="36" spans="1:13" x14ac:dyDescent="0.25">
      <c r="A36" s="67">
        <v>10</v>
      </c>
      <c r="B36" s="3" t="s">
        <v>286</v>
      </c>
      <c r="C36" s="6"/>
      <c r="D36" s="6"/>
      <c r="E36" s="29"/>
      <c r="F36" s="29"/>
      <c r="G36" s="29"/>
      <c r="H36" s="29"/>
      <c r="I36" s="29"/>
      <c r="J36" s="3">
        <f t="shared" si="2"/>
        <v>0</v>
      </c>
      <c r="K36" s="3"/>
      <c r="L36" s="28"/>
      <c r="M36" s="7">
        <f t="shared" si="3"/>
        <v>0</v>
      </c>
    </row>
    <row r="37" spans="1:13" x14ac:dyDescent="0.25">
      <c r="A37" s="67">
        <v>11</v>
      </c>
      <c r="B37" s="3" t="s">
        <v>288</v>
      </c>
      <c r="C37" s="6"/>
      <c r="D37" s="6"/>
      <c r="E37" s="29"/>
      <c r="F37" s="29"/>
      <c r="G37" s="29"/>
      <c r="H37" s="29"/>
      <c r="I37" s="29"/>
      <c r="J37" s="3">
        <f t="shared" si="2"/>
        <v>0</v>
      </c>
      <c r="K37" s="3"/>
      <c r="L37" s="28"/>
      <c r="M37" s="7">
        <f t="shared" si="3"/>
        <v>0</v>
      </c>
    </row>
    <row r="38" spans="1:13" x14ac:dyDescent="0.25">
      <c r="A38" s="67">
        <v>12</v>
      </c>
      <c r="B38" s="3" t="s">
        <v>283</v>
      </c>
      <c r="C38" s="6"/>
      <c r="D38" s="6"/>
      <c r="E38" s="29"/>
      <c r="F38" s="29"/>
      <c r="G38" s="29"/>
      <c r="H38" s="29"/>
      <c r="I38" s="29"/>
      <c r="J38" s="3">
        <f t="shared" si="2"/>
        <v>0</v>
      </c>
      <c r="K38" s="3"/>
      <c r="L38" s="28"/>
      <c r="M38" s="7">
        <f t="shared" si="3"/>
        <v>0</v>
      </c>
    </row>
    <row r="39" spans="1:13" x14ac:dyDescent="0.25">
      <c r="A39" s="67">
        <v>13</v>
      </c>
      <c r="B39" s="3" t="s">
        <v>287</v>
      </c>
      <c r="C39" s="6"/>
      <c r="D39" s="6"/>
      <c r="E39" s="29"/>
      <c r="F39" s="29"/>
      <c r="G39" s="29"/>
      <c r="H39" s="29"/>
      <c r="I39" s="29"/>
      <c r="J39" s="3">
        <f t="shared" si="2"/>
        <v>0</v>
      </c>
      <c r="K39" s="3"/>
      <c r="L39" s="28"/>
      <c r="M39" s="7">
        <f t="shared" si="3"/>
        <v>0</v>
      </c>
    </row>
    <row r="40" spans="1:13" x14ac:dyDescent="0.25">
      <c r="A40" s="67">
        <v>14</v>
      </c>
      <c r="B40" s="3" t="s">
        <v>278</v>
      </c>
      <c r="C40" s="6"/>
      <c r="D40" s="6"/>
      <c r="E40" s="29"/>
      <c r="F40" s="29"/>
      <c r="G40" s="29"/>
      <c r="H40" s="29"/>
      <c r="I40" s="29"/>
      <c r="J40" s="3">
        <f t="shared" si="2"/>
        <v>0</v>
      </c>
      <c r="K40" s="3"/>
      <c r="L40" s="28"/>
      <c r="M40" s="7">
        <f t="shared" si="3"/>
        <v>0</v>
      </c>
    </row>
    <row r="41" spans="1:13" x14ac:dyDescent="0.25">
      <c r="A41" s="67">
        <v>15</v>
      </c>
      <c r="B41" s="3"/>
      <c r="C41" s="6"/>
      <c r="D41" s="6"/>
      <c r="E41" s="29"/>
      <c r="F41" s="29"/>
      <c r="G41" s="29"/>
      <c r="H41" s="29"/>
      <c r="I41" s="29"/>
      <c r="J41" s="3">
        <f t="shared" si="2"/>
        <v>0</v>
      </c>
      <c r="K41" s="3"/>
      <c r="L41" s="28"/>
      <c r="M41" s="7">
        <f t="shared" si="3"/>
        <v>0</v>
      </c>
    </row>
    <row r="42" spans="1:13" x14ac:dyDescent="0.25">
      <c r="A42" s="67">
        <v>16</v>
      </c>
      <c r="B42" s="3"/>
      <c r="C42" s="6"/>
      <c r="D42" s="6"/>
      <c r="E42" s="29"/>
      <c r="F42" s="29"/>
      <c r="G42" s="29"/>
      <c r="H42" s="29"/>
      <c r="I42" s="29"/>
      <c r="J42" s="3">
        <f t="shared" si="2"/>
        <v>0</v>
      </c>
      <c r="K42" s="3"/>
      <c r="L42" s="28"/>
      <c r="M42" s="7">
        <f t="shared" si="3"/>
        <v>0</v>
      </c>
    </row>
    <row r="43" spans="1:13" x14ac:dyDescent="0.25">
      <c r="B43" s="1" t="s">
        <v>18</v>
      </c>
      <c r="C43">
        <v>60</v>
      </c>
      <c r="D43">
        <v>150</v>
      </c>
      <c r="E43">
        <v>200</v>
      </c>
      <c r="F43">
        <v>50</v>
      </c>
      <c r="G43">
        <v>100</v>
      </c>
      <c r="H43">
        <v>20</v>
      </c>
      <c r="I43" t="s">
        <v>91</v>
      </c>
      <c r="L43" s="22">
        <v>0.6</v>
      </c>
    </row>
    <row r="44" spans="1:13" x14ac:dyDescent="0.25">
      <c r="K44" t="s">
        <v>48</v>
      </c>
      <c r="L44" s="27">
        <v>0.2</v>
      </c>
    </row>
    <row r="47" spans="1:13" x14ac:dyDescent="0.25">
      <c r="C47" t="s">
        <v>16</v>
      </c>
      <c r="D47" t="s">
        <v>17</v>
      </c>
      <c r="J47" s="11"/>
    </row>
    <row r="48" spans="1:13" x14ac:dyDescent="0.25">
      <c r="B48" t="s">
        <v>13</v>
      </c>
      <c r="C48">
        <v>450</v>
      </c>
      <c r="D48">
        <f>D50*1.5</f>
        <v>7.5</v>
      </c>
      <c r="J48" s="12"/>
    </row>
    <row r="49" spans="2:4" x14ac:dyDescent="0.25">
      <c r="B49" t="s">
        <v>14</v>
      </c>
      <c r="C49">
        <v>180</v>
      </c>
      <c r="D49">
        <f>(D48-D50)*0.5+D50</f>
        <v>6.25</v>
      </c>
    </row>
    <row r="50" spans="2:4" x14ac:dyDescent="0.25">
      <c r="B50" t="s">
        <v>15</v>
      </c>
      <c r="C50">
        <v>45</v>
      </c>
      <c r="D50">
        <v>5</v>
      </c>
    </row>
    <row r="53" spans="2:4" x14ac:dyDescent="0.25">
      <c r="B53" t="s">
        <v>159</v>
      </c>
    </row>
    <row r="54" spans="2:4" x14ac:dyDescent="0.25">
      <c r="B54" t="s">
        <v>160</v>
      </c>
    </row>
    <row r="55" spans="2:4" x14ac:dyDescent="0.25">
      <c r="B55" t="s">
        <v>161</v>
      </c>
    </row>
    <row r="56" spans="2:4" x14ac:dyDescent="0.25">
      <c r="B56" t="s">
        <v>162</v>
      </c>
    </row>
    <row r="57" spans="2:4" x14ac:dyDescent="0.25">
      <c r="B57" t="s">
        <v>163</v>
      </c>
    </row>
    <row r="58" spans="2:4" x14ac:dyDescent="0.25">
      <c r="B58" t="s">
        <v>164</v>
      </c>
    </row>
    <row r="59" spans="2:4" x14ac:dyDescent="0.25">
      <c r="B59" t="s">
        <v>144</v>
      </c>
    </row>
    <row r="60" spans="2:4" x14ac:dyDescent="0.25">
      <c r="B60" t="s">
        <v>145</v>
      </c>
    </row>
    <row r="62" spans="2:4" x14ac:dyDescent="0.25">
      <c r="B62" t="s">
        <v>154</v>
      </c>
    </row>
    <row r="63" spans="2:4" x14ac:dyDescent="0.25">
      <c r="B63" t="s">
        <v>165</v>
      </c>
    </row>
    <row r="64" spans="2:4" x14ac:dyDescent="0.25">
      <c r="B64" t="s">
        <v>166</v>
      </c>
    </row>
    <row r="65" spans="2:2" x14ac:dyDescent="0.25">
      <c r="B65" t="s">
        <v>167</v>
      </c>
    </row>
    <row r="66" spans="2:2" x14ac:dyDescent="0.25">
      <c r="B66" t="s">
        <v>168</v>
      </c>
    </row>
    <row r="67" spans="2:2" x14ac:dyDescent="0.25">
      <c r="B67" t="s">
        <v>169</v>
      </c>
    </row>
    <row r="68" spans="2:2" x14ac:dyDescent="0.25">
      <c r="B68" t="s">
        <v>144</v>
      </c>
    </row>
    <row r="69" spans="2:2" x14ac:dyDescent="0.25">
      <c r="B69" t="s">
        <v>145</v>
      </c>
    </row>
  </sheetData>
  <pageMargins left="0.7" right="0.7" top="0.75" bottom="0.75" header="0.3" footer="0.3"/>
  <pageSetup paperSize="9" orientation="portrait" horizontalDpi="180" verticalDpi="18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F19"/>
  <sheetViews>
    <sheetView workbookViewId="0">
      <selection activeCell="B8" sqref="B8"/>
    </sheetView>
  </sheetViews>
  <sheetFormatPr defaultRowHeight="15" x14ac:dyDescent="0.25"/>
  <cols>
    <col min="2" max="2" width="43" customWidth="1"/>
    <col min="3" max="3" width="22.5703125" bestFit="1" customWidth="1"/>
    <col min="4" max="4" width="29.7109375" customWidth="1"/>
    <col min="5" max="5" width="15" customWidth="1"/>
    <col min="6" max="6" width="41.42578125" customWidth="1"/>
  </cols>
  <sheetData>
    <row r="2" spans="2:6" x14ac:dyDescent="0.25">
      <c r="B2" s="93" t="s">
        <v>20</v>
      </c>
      <c r="C2" s="93" t="s">
        <v>245</v>
      </c>
      <c r="D2" s="93" t="s">
        <v>253</v>
      </c>
      <c r="E2" s="93" t="s">
        <v>49</v>
      </c>
      <c r="F2" s="93" t="s">
        <v>266</v>
      </c>
    </row>
    <row r="3" spans="2:6" ht="30" x14ac:dyDescent="0.25">
      <c r="B3" s="114" t="s">
        <v>192</v>
      </c>
      <c r="C3" s="115">
        <v>21.619593137254903</v>
      </c>
      <c r="D3" s="116" t="s">
        <v>254</v>
      </c>
      <c r="E3" s="117">
        <v>4</v>
      </c>
      <c r="F3" s="118" t="s">
        <v>265</v>
      </c>
    </row>
    <row r="4" spans="2:6" ht="30" x14ac:dyDescent="0.25">
      <c r="B4" s="108" t="s">
        <v>197</v>
      </c>
      <c r="C4" s="109">
        <v>17.579999999999998</v>
      </c>
      <c r="D4" s="110" t="s">
        <v>255</v>
      </c>
      <c r="E4" s="111">
        <v>1</v>
      </c>
      <c r="F4" s="112" t="s">
        <v>264</v>
      </c>
    </row>
    <row r="5" spans="2:6" ht="30" x14ac:dyDescent="0.25">
      <c r="B5" s="100" t="s">
        <v>196</v>
      </c>
      <c r="C5" s="101">
        <v>7.1337499999999991</v>
      </c>
      <c r="D5" s="102" t="s">
        <v>256</v>
      </c>
      <c r="E5" s="103">
        <v>18</v>
      </c>
      <c r="F5" s="113" t="s">
        <v>263</v>
      </c>
    </row>
    <row r="6" spans="2:6" x14ac:dyDescent="0.25">
      <c r="B6" s="73" t="s">
        <v>191</v>
      </c>
      <c r="C6" s="95">
        <v>-9.2000000000000011</v>
      </c>
      <c r="D6" s="99" t="s">
        <v>257</v>
      </c>
      <c r="E6" s="97">
        <v>46</v>
      </c>
      <c r="F6" s="98" t="s">
        <v>252</v>
      </c>
    </row>
    <row r="7" spans="2:6" x14ac:dyDescent="0.25">
      <c r="B7" s="73" t="s">
        <v>189</v>
      </c>
      <c r="C7" s="95">
        <v>-9.7294117647058833</v>
      </c>
      <c r="D7" s="99" t="s">
        <v>257</v>
      </c>
      <c r="E7" s="97">
        <v>23</v>
      </c>
      <c r="F7" s="98" t="s">
        <v>249</v>
      </c>
    </row>
    <row r="8" spans="2:6" x14ac:dyDescent="0.25">
      <c r="B8" s="94" t="s">
        <v>124</v>
      </c>
      <c r="C8" s="93" t="s">
        <v>245</v>
      </c>
      <c r="D8" s="93" t="s">
        <v>253</v>
      </c>
      <c r="E8" s="93" t="s">
        <v>49</v>
      </c>
      <c r="F8" s="93" t="s">
        <v>266</v>
      </c>
    </row>
    <row r="9" spans="2:6" ht="30" x14ac:dyDescent="0.25">
      <c r="B9" s="104" t="s">
        <v>215</v>
      </c>
      <c r="C9" s="105">
        <v>11.125</v>
      </c>
      <c r="D9" s="106" t="s">
        <v>258</v>
      </c>
      <c r="E9" s="107">
        <v>12</v>
      </c>
      <c r="F9" s="104" t="s">
        <v>264</v>
      </c>
    </row>
    <row r="10" spans="2:6" ht="30" x14ac:dyDescent="0.25">
      <c r="B10" s="108" t="s">
        <v>203</v>
      </c>
      <c r="C10" s="109">
        <v>8.0350000000000001</v>
      </c>
      <c r="D10" s="110" t="s">
        <v>255</v>
      </c>
      <c r="E10" s="111">
        <v>10</v>
      </c>
      <c r="F10" s="108" t="s">
        <v>267</v>
      </c>
    </row>
    <row r="11" spans="2:6" ht="30" x14ac:dyDescent="0.25">
      <c r="B11" s="104" t="s">
        <v>205</v>
      </c>
      <c r="C11" s="105">
        <v>6.93</v>
      </c>
      <c r="D11" s="106" t="s">
        <v>259</v>
      </c>
      <c r="E11" s="107">
        <v>10</v>
      </c>
      <c r="F11" s="104" t="s">
        <v>262</v>
      </c>
    </row>
    <row r="12" spans="2:6" ht="30" x14ac:dyDescent="0.25">
      <c r="B12" s="73" t="s">
        <v>206</v>
      </c>
      <c r="C12" s="95">
        <v>-0.56875000000000009</v>
      </c>
      <c r="D12" s="96" t="s">
        <v>260</v>
      </c>
      <c r="E12" s="97">
        <v>29</v>
      </c>
      <c r="F12" s="98" t="s">
        <v>250</v>
      </c>
    </row>
    <row r="13" spans="2:6" ht="45" x14ac:dyDescent="0.25">
      <c r="B13" s="73" t="s">
        <v>202</v>
      </c>
      <c r="C13" s="95">
        <v>-7.55</v>
      </c>
      <c r="D13" s="96" t="s">
        <v>261</v>
      </c>
      <c r="E13" s="97">
        <v>42</v>
      </c>
      <c r="F13" s="98" t="s">
        <v>251</v>
      </c>
    </row>
    <row r="14" spans="2:6" x14ac:dyDescent="0.25">
      <c r="B14" s="73" t="s">
        <v>207</v>
      </c>
      <c r="C14" s="95">
        <v>-9.2000000000000011</v>
      </c>
      <c r="D14" s="99" t="s">
        <v>257</v>
      </c>
      <c r="E14" s="97">
        <v>46</v>
      </c>
      <c r="F14" s="98" t="s">
        <v>246</v>
      </c>
    </row>
    <row r="15" spans="2:6" x14ac:dyDescent="0.25">
      <c r="B15" s="73" t="s">
        <v>208</v>
      </c>
      <c r="C15" s="95">
        <v>-5.5340000000000007</v>
      </c>
      <c r="D15" s="99" t="s">
        <v>257</v>
      </c>
      <c r="E15" s="97">
        <v>34</v>
      </c>
      <c r="F15" s="98" t="s">
        <v>250</v>
      </c>
    </row>
    <row r="16" spans="2:6" x14ac:dyDescent="0.25">
      <c r="B16" s="73" t="s">
        <v>211</v>
      </c>
      <c r="C16" s="95">
        <v>-9.2000000000000011</v>
      </c>
      <c r="D16" s="99" t="s">
        <v>257</v>
      </c>
      <c r="E16" s="97">
        <v>46</v>
      </c>
      <c r="F16" s="98" t="s">
        <v>247</v>
      </c>
    </row>
    <row r="17" spans="2:6" x14ac:dyDescent="0.25">
      <c r="B17" s="73" t="s">
        <v>214</v>
      </c>
      <c r="C17" s="95">
        <v>-9.2000000000000011</v>
      </c>
      <c r="D17" s="99" t="s">
        <v>257</v>
      </c>
      <c r="E17" s="97">
        <v>46</v>
      </c>
      <c r="F17" s="98" t="s">
        <v>247</v>
      </c>
    </row>
    <row r="18" spans="2:6" x14ac:dyDescent="0.25">
      <c r="B18" s="73" t="s">
        <v>217</v>
      </c>
      <c r="C18" s="95">
        <v>-9.2000000000000011</v>
      </c>
      <c r="D18" s="99" t="s">
        <v>257</v>
      </c>
      <c r="E18" s="97">
        <v>46</v>
      </c>
      <c r="F18" s="98" t="s">
        <v>247</v>
      </c>
    </row>
    <row r="19" spans="2:6" x14ac:dyDescent="0.25">
      <c r="B19" s="73" t="s">
        <v>204</v>
      </c>
      <c r="C19" s="95">
        <v>-8.3375000000000004</v>
      </c>
      <c r="D19" s="99" t="s">
        <v>257</v>
      </c>
      <c r="E19" s="97">
        <v>36</v>
      </c>
      <c r="F19" s="98" t="s">
        <v>248</v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J96"/>
  <sheetViews>
    <sheetView workbookViewId="0">
      <selection activeCell="C63" sqref="A4:C63"/>
    </sheetView>
  </sheetViews>
  <sheetFormatPr defaultRowHeight="15" x14ac:dyDescent="0.25"/>
  <cols>
    <col min="1" max="1" width="54.28515625" style="2" customWidth="1"/>
    <col min="3" max="4" width="19.7109375" customWidth="1"/>
    <col min="5" max="6" width="11.7109375" customWidth="1"/>
    <col min="7" max="7" width="15.140625" customWidth="1"/>
    <col min="8" max="8" width="14.7109375" customWidth="1"/>
    <col min="9" max="9" width="16" customWidth="1"/>
    <col min="10" max="10" width="22.5703125" customWidth="1"/>
  </cols>
  <sheetData>
    <row r="1" spans="1:10" x14ac:dyDescent="0.25">
      <c r="F1" s="61">
        <v>40419</v>
      </c>
    </row>
    <row r="2" spans="1:10" x14ac:dyDescent="0.25">
      <c r="A2" s="2" t="s">
        <v>7</v>
      </c>
      <c r="B2" t="s">
        <v>8</v>
      </c>
      <c r="C2" t="s">
        <v>3</v>
      </c>
      <c r="D2" t="s">
        <v>5</v>
      </c>
      <c r="E2" t="s">
        <v>6</v>
      </c>
      <c r="G2" t="s">
        <v>10</v>
      </c>
      <c r="H2" t="s">
        <v>52</v>
      </c>
      <c r="I2" t="s">
        <v>9</v>
      </c>
    </row>
    <row r="3" spans="1:10" x14ac:dyDescent="0.25">
      <c r="A3" s="50" t="s">
        <v>227</v>
      </c>
      <c r="B3" s="6">
        <v>2</v>
      </c>
      <c r="C3" s="6"/>
      <c r="D3" s="51"/>
      <c r="E3" s="51"/>
      <c r="F3" s="52"/>
      <c r="G3" s="52"/>
      <c r="H3" s="52"/>
      <c r="I3" s="52"/>
      <c r="J3" s="42"/>
    </row>
    <row r="4" spans="1:10" x14ac:dyDescent="0.25">
      <c r="A4" s="50" t="s">
        <v>228</v>
      </c>
      <c r="B4" s="6">
        <v>3</v>
      </c>
      <c r="C4" s="6"/>
      <c r="D4" s="51"/>
      <c r="E4" s="51"/>
      <c r="F4" s="52"/>
      <c r="G4" s="52"/>
      <c r="H4" s="52"/>
      <c r="I4" s="52"/>
      <c r="J4" s="43"/>
    </row>
    <row r="5" spans="1:10" x14ac:dyDescent="0.25">
      <c r="A5" s="50" t="s">
        <v>229</v>
      </c>
      <c r="B5" s="6">
        <v>4</v>
      </c>
      <c r="C5" s="6"/>
      <c r="D5" s="51"/>
      <c r="E5" s="51"/>
      <c r="F5" s="52"/>
      <c r="G5" s="52"/>
      <c r="H5" s="52"/>
      <c r="I5" s="52"/>
      <c r="J5" s="44"/>
    </row>
    <row r="6" spans="1:10" x14ac:dyDescent="0.25">
      <c r="A6" s="50" t="s">
        <v>230</v>
      </c>
      <c r="B6" s="6">
        <v>5</v>
      </c>
      <c r="C6" s="6"/>
      <c r="D6" s="51"/>
      <c r="E6" s="51"/>
      <c r="F6" s="52"/>
      <c r="G6" s="52"/>
      <c r="H6" s="52"/>
      <c r="I6" s="52"/>
      <c r="J6" s="42"/>
    </row>
    <row r="7" spans="1:10" x14ac:dyDescent="0.25">
      <c r="A7" s="53" t="s">
        <v>231</v>
      </c>
      <c r="B7" s="54">
        <v>5</v>
      </c>
      <c r="C7" s="54"/>
      <c r="D7" s="55"/>
      <c r="E7" s="55"/>
      <c r="F7" s="52"/>
      <c r="G7" s="56"/>
      <c r="H7" s="56"/>
      <c r="I7" s="52"/>
      <c r="J7" s="45"/>
    </row>
    <row r="8" spans="1:10" x14ac:dyDescent="0.25">
      <c r="A8" s="53" t="s">
        <v>233</v>
      </c>
      <c r="B8" s="54">
        <v>5</v>
      </c>
      <c r="C8" s="54"/>
      <c r="D8" s="55"/>
      <c r="E8" s="55"/>
      <c r="F8" s="52"/>
      <c r="G8" s="56"/>
      <c r="H8" s="56"/>
      <c r="I8" s="52"/>
      <c r="J8" s="45"/>
    </row>
    <row r="9" spans="1:10" x14ac:dyDescent="0.25">
      <c r="A9" s="53" t="s">
        <v>232</v>
      </c>
      <c r="B9" s="54">
        <v>6</v>
      </c>
      <c r="C9" s="54"/>
      <c r="D9" s="55"/>
      <c r="E9" s="55"/>
      <c r="F9" s="52"/>
      <c r="G9" s="56"/>
      <c r="H9" s="56"/>
      <c r="I9" s="52"/>
      <c r="J9" s="46"/>
    </row>
    <row r="10" spans="1:10" x14ac:dyDescent="0.25">
      <c r="A10" s="53" t="s">
        <v>234</v>
      </c>
      <c r="B10" s="54">
        <v>5</v>
      </c>
      <c r="C10" s="54"/>
      <c r="D10" s="55"/>
      <c r="E10" s="55"/>
      <c r="F10" s="52"/>
      <c r="G10" s="56"/>
      <c r="H10" s="56"/>
      <c r="I10" s="52"/>
      <c r="J10" s="47"/>
    </row>
    <row r="11" spans="1:10" x14ac:dyDescent="0.25">
      <c r="A11" s="57" t="s">
        <v>235</v>
      </c>
      <c r="B11" s="58">
        <v>5</v>
      </c>
      <c r="C11" s="58"/>
      <c r="D11" s="59"/>
      <c r="E11" s="59"/>
      <c r="F11" s="52"/>
      <c r="G11" s="60"/>
      <c r="H11" s="60"/>
      <c r="I11" s="52"/>
      <c r="J11" s="48"/>
    </row>
    <row r="12" spans="1:10" x14ac:dyDescent="0.25">
      <c r="A12" s="57"/>
      <c r="B12" s="80">
        <f>SUM(B3:B11)</f>
        <v>40</v>
      </c>
      <c r="C12" s="58"/>
      <c r="D12" s="59"/>
      <c r="E12" s="59"/>
      <c r="F12" s="52"/>
      <c r="G12" s="60"/>
      <c r="H12" s="60"/>
      <c r="I12" s="52"/>
      <c r="J12" s="48"/>
    </row>
    <row r="13" spans="1:10" x14ac:dyDescent="0.25">
      <c r="A13" s="57"/>
      <c r="B13" s="58"/>
      <c r="C13" s="58"/>
      <c r="D13" s="59"/>
      <c r="E13" s="59"/>
      <c r="F13" s="52"/>
      <c r="G13" s="60"/>
      <c r="H13" s="60"/>
      <c r="I13" s="52"/>
      <c r="J13" s="49"/>
    </row>
    <row r="14" spans="1:10" x14ac:dyDescent="0.25">
      <c r="E14" s="1" t="s">
        <v>11</v>
      </c>
      <c r="F14" s="1"/>
      <c r="G14" s="1">
        <f>SUM(G3:G13)</f>
        <v>0</v>
      </c>
      <c r="H14" s="1">
        <f>SUM(H3:H13)</f>
        <v>0</v>
      </c>
      <c r="I14" s="1">
        <f>SUM(I3:I13)</f>
        <v>0</v>
      </c>
    </row>
    <row r="17" spans="1:10" x14ac:dyDescent="0.25">
      <c r="G17">
        <f>SUM(G3:G6)</f>
        <v>0</v>
      </c>
      <c r="I17">
        <f>SUM(I3:I6)</f>
        <v>0</v>
      </c>
      <c r="J17" t="e">
        <f>I17/G17</f>
        <v>#DIV/0!</v>
      </c>
    </row>
    <row r="18" spans="1:10" x14ac:dyDescent="0.25">
      <c r="G18">
        <f>SUM(G3:G10)</f>
        <v>0</v>
      </c>
      <c r="I18">
        <f>SUM(I3:I10)</f>
        <v>0</v>
      </c>
      <c r="J18" t="e">
        <f>I18/G18</f>
        <v>#DIV/0!</v>
      </c>
    </row>
    <row r="19" spans="1:10" x14ac:dyDescent="0.25">
      <c r="G19">
        <f>SUM(G3:G13)</f>
        <v>0</v>
      </c>
      <c r="I19">
        <f>SUM(I3:I13)</f>
        <v>0</v>
      </c>
      <c r="J19" t="e">
        <f>I19/G19</f>
        <v>#DIV/0!</v>
      </c>
    </row>
    <row r="22" spans="1:10" x14ac:dyDescent="0.25">
      <c r="A22" s="3"/>
      <c r="B22" s="4">
        <v>1</v>
      </c>
      <c r="C22" s="4">
        <v>2</v>
      </c>
      <c r="D22" s="4">
        <v>3</v>
      </c>
      <c r="E22">
        <v>3</v>
      </c>
      <c r="F22">
        <v>5</v>
      </c>
      <c r="G22">
        <v>4</v>
      </c>
      <c r="H22">
        <v>2</v>
      </c>
      <c r="I22">
        <v>3</v>
      </c>
      <c r="J22">
        <v>5</v>
      </c>
    </row>
    <row r="23" spans="1:10" x14ac:dyDescent="0.25">
      <c r="A23" s="3"/>
      <c r="B23" s="3"/>
      <c r="C23" s="5"/>
      <c r="D23" s="8"/>
    </row>
    <row r="24" spans="1:10" x14ac:dyDescent="0.25">
      <c r="A24" s="3"/>
      <c r="B24" s="3"/>
      <c r="C24" s="5"/>
      <c r="D24" s="8"/>
    </row>
    <row r="25" spans="1:10" x14ac:dyDescent="0.25">
      <c r="A25" s="3"/>
      <c r="B25" s="3"/>
      <c r="C25" s="5"/>
      <c r="D25" s="8"/>
    </row>
    <row r="26" spans="1:10" x14ac:dyDescent="0.25">
      <c r="A26" s="3"/>
      <c r="B26" s="3"/>
      <c r="C26" s="5"/>
      <c r="D26" s="8"/>
    </row>
    <row r="27" spans="1:10" x14ac:dyDescent="0.25">
      <c r="A27" s="3"/>
      <c r="B27" s="3"/>
      <c r="C27" s="5"/>
      <c r="D27" s="8"/>
    </row>
    <row r="28" spans="1:10" x14ac:dyDescent="0.25">
      <c r="A28" s="3"/>
      <c r="B28" s="3"/>
      <c r="C28" s="5"/>
      <c r="D28" s="8"/>
    </row>
    <row r="29" spans="1:10" x14ac:dyDescent="0.25">
      <c r="A29" s="3"/>
      <c r="B29" s="3"/>
      <c r="C29" s="5"/>
      <c r="D29" s="8"/>
    </row>
    <row r="30" spans="1:10" x14ac:dyDescent="0.25">
      <c r="A30" s="3"/>
      <c r="B30" s="3"/>
      <c r="C30" s="5"/>
      <c r="D30" s="8"/>
    </row>
    <row r="31" spans="1:10" x14ac:dyDescent="0.25">
      <c r="A31" s="3"/>
      <c r="B31" s="3"/>
      <c r="C31" s="5"/>
      <c r="D31" s="8"/>
    </row>
    <row r="32" spans="1:10" x14ac:dyDescent="0.25">
      <c r="A32" s="3"/>
      <c r="B32" s="3"/>
      <c r="C32" s="5"/>
      <c r="D32" s="8"/>
    </row>
    <row r="33" spans="1:4" x14ac:dyDescent="0.25">
      <c r="A33" s="3"/>
      <c r="B33" s="3"/>
      <c r="C33" s="5"/>
      <c r="D33" s="8"/>
    </row>
    <row r="34" spans="1:4" x14ac:dyDescent="0.25">
      <c r="A34" s="3"/>
      <c r="B34" s="3"/>
      <c r="C34" s="5"/>
      <c r="D34" s="8"/>
    </row>
    <row r="35" spans="1:4" x14ac:dyDescent="0.25">
      <c r="A35" s="3"/>
      <c r="B35" s="3"/>
      <c r="C35" s="5"/>
      <c r="D35" s="8"/>
    </row>
    <row r="36" spans="1:4" x14ac:dyDescent="0.25">
      <c r="A36" s="3"/>
      <c r="B36" s="3"/>
      <c r="C36" s="5"/>
      <c r="D36" s="8"/>
    </row>
    <row r="37" spans="1:4" x14ac:dyDescent="0.25">
      <c r="A37" s="3"/>
      <c r="B37" s="3"/>
      <c r="C37" s="5"/>
      <c r="D37" s="8"/>
    </row>
    <row r="38" spans="1:4" x14ac:dyDescent="0.25">
      <c r="A38" s="3"/>
      <c r="B38" s="3"/>
      <c r="C38" s="5"/>
      <c r="D38" s="8"/>
    </row>
    <row r="39" spans="1:4" x14ac:dyDescent="0.25">
      <c r="A39" s="3"/>
      <c r="B39" s="3"/>
      <c r="C39" s="5"/>
      <c r="D39" s="8"/>
    </row>
    <row r="40" spans="1:4" x14ac:dyDescent="0.25">
      <c r="A40" s="3"/>
      <c r="B40" s="3"/>
      <c r="C40" s="5"/>
      <c r="D40" s="8"/>
    </row>
    <row r="41" spans="1:4" x14ac:dyDescent="0.25">
      <c r="A41" s="3"/>
      <c r="B41" s="3"/>
      <c r="C41" s="5"/>
      <c r="D41" s="8"/>
    </row>
    <row r="42" spans="1:4" x14ac:dyDescent="0.25">
      <c r="A42" s="3"/>
      <c r="B42" s="3"/>
      <c r="C42" s="5"/>
      <c r="D42" s="8"/>
    </row>
    <row r="43" spans="1:4" x14ac:dyDescent="0.25">
      <c r="A43" s="3"/>
      <c r="B43" s="3"/>
      <c r="C43" s="5"/>
      <c r="D43" s="8"/>
    </row>
    <row r="44" spans="1:4" x14ac:dyDescent="0.25">
      <c r="A44" s="3"/>
      <c r="B44" s="3"/>
      <c r="C44" s="5"/>
      <c r="D44" s="8"/>
    </row>
    <row r="45" spans="1:4" x14ac:dyDescent="0.25">
      <c r="A45" s="3"/>
      <c r="B45" s="3"/>
      <c r="C45" s="5"/>
      <c r="D45" s="8"/>
    </row>
    <row r="46" spans="1:4" x14ac:dyDescent="0.25">
      <c r="A46" s="3"/>
      <c r="B46" s="3"/>
      <c r="C46" s="5"/>
      <c r="D46" s="8"/>
    </row>
    <row r="47" spans="1:4" x14ac:dyDescent="0.25">
      <c r="A47" s="3"/>
      <c r="B47" s="3"/>
      <c r="C47" s="5"/>
      <c r="D47" s="8"/>
    </row>
    <row r="48" spans="1:4" x14ac:dyDescent="0.25">
      <c r="A48" s="3"/>
      <c r="B48" s="3"/>
      <c r="C48" s="5"/>
      <c r="D48" s="8"/>
    </row>
    <row r="52" spans="2:2" x14ac:dyDescent="0.25">
      <c r="B52">
        <v>100</v>
      </c>
    </row>
    <row r="53" spans="2:2" x14ac:dyDescent="0.25">
      <c r="B53">
        <v>80</v>
      </c>
    </row>
    <row r="54" spans="2:2" x14ac:dyDescent="0.25">
      <c r="B54">
        <v>20</v>
      </c>
    </row>
    <row r="55" spans="2:2" x14ac:dyDescent="0.25">
      <c r="B55">
        <v>30</v>
      </c>
    </row>
    <row r="56" spans="2:2" x14ac:dyDescent="0.25">
      <c r="B56">
        <v>30</v>
      </c>
    </row>
    <row r="57" spans="2:2" x14ac:dyDescent="0.25">
      <c r="B57">
        <v>20</v>
      </c>
    </row>
    <row r="58" spans="2:2" x14ac:dyDescent="0.25">
      <c r="B58">
        <v>50</v>
      </c>
    </row>
    <row r="59" spans="2:2" x14ac:dyDescent="0.25">
      <c r="B59">
        <v>30</v>
      </c>
    </row>
    <row r="60" spans="2:2" x14ac:dyDescent="0.25">
      <c r="B60">
        <v>80</v>
      </c>
    </row>
    <row r="62" spans="2:2" x14ac:dyDescent="0.25">
      <c r="B62">
        <v>150</v>
      </c>
    </row>
    <row r="70" spans="1:1" x14ac:dyDescent="0.25">
      <c r="A70" s="2" t="s">
        <v>422</v>
      </c>
    </row>
    <row r="71" spans="1:1" x14ac:dyDescent="0.25">
      <c r="A71" s="2" t="s">
        <v>423</v>
      </c>
    </row>
    <row r="72" spans="1:1" x14ac:dyDescent="0.25">
      <c r="A72" s="2" t="s">
        <v>424</v>
      </c>
    </row>
    <row r="73" spans="1:1" x14ac:dyDescent="0.25">
      <c r="A73" s="2" t="s">
        <v>425</v>
      </c>
    </row>
    <row r="74" spans="1:1" x14ac:dyDescent="0.25">
      <c r="A74" s="2" t="s">
        <v>426</v>
      </c>
    </row>
    <row r="75" spans="1:1" x14ac:dyDescent="0.25">
      <c r="A75" s="2" t="s">
        <v>427</v>
      </c>
    </row>
    <row r="76" spans="1:1" x14ac:dyDescent="0.25">
      <c r="A76" s="2" t="s">
        <v>428</v>
      </c>
    </row>
    <row r="77" spans="1:1" x14ac:dyDescent="0.25">
      <c r="A77" s="2" t="s">
        <v>429</v>
      </c>
    </row>
    <row r="78" spans="1:1" x14ac:dyDescent="0.25">
      <c r="A78" s="2" t="s">
        <v>430</v>
      </c>
    </row>
    <row r="79" spans="1:1" x14ac:dyDescent="0.25">
      <c r="A79" s="2" t="s">
        <v>431</v>
      </c>
    </row>
    <row r="80" spans="1:1" x14ac:dyDescent="0.25">
      <c r="A80" s="2" t="s">
        <v>432</v>
      </c>
    </row>
    <row r="81" spans="1:1" x14ac:dyDescent="0.25">
      <c r="A81" s="2" t="s">
        <v>433</v>
      </c>
    </row>
    <row r="82" spans="1:1" x14ac:dyDescent="0.25">
      <c r="A82" s="2" t="s">
        <v>434</v>
      </c>
    </row>
    <row r="83" spans="1:1" x14ac:dyDescent="0.25">
      <c r="A83" s="2" t="s">
        <v>435</v>
      </c>
    </row>
    <row r="84" spans="1:1" x14ac:dyDescent="0.25">
      <c r="A84" s="2" t="s">
        <v>436</v>
      </c>
    </row>
    <row r="85" spans="1:1" x14ac:dyDescent="0.25">
      <c r="A85" s="2" t="s">
        <v>437</v>
      </c>
    </row>
    <row r="86" spans="1:1" x14ac:dyDescent="0.25">
      <c r="A86" s="2" t="s">
        <v>438</v>
      </c>
    </row>
    <row r="87" spans="1:1" x14ac:dyDescent="0.25">
      <c r="A87" s="2" t="s">
        <v>439</v>
      </c>
    </row>
    <row r="88" spans="1:1" x14ac:dyDescent="0.25">
      <c r="A88" s="2" t="s">
        <v>440</v>
      </c>
    </row>
    <row r="89" spans="1:1" x14ac:dyDescent="0.25">
      <c r="A89" s="2" t="s">
        <v>441</v>
      </c>
    </row>
    <row r="90" spans="1:1" x14ac:dyDescent="0.25">
      <c r="A90" s="2" t="s">
        <v>442</v>
      </c>
    </row>
    <row r="91" spans="1:1" x14ac:dyDescent="0.25">
      <c r="A91" s="2" t="s">
        <v>443</v>
      </c>
    </row>
    <row r="92" spans="1:1" x14ac:dyDescent="0.25">
      <c r="A92" s="2" t="s">
        <v>444</v>
      </c>
    </row>
    <row r="93" spans="1:1" x14ac:dyDescent="0.25">
      <c r="A93" s="2" t="s">
        <v>445</v>
      </c>
    </row>
    <row r="94" spans="1:1" x14ac:dyDescent="0.25">
      <c r="A94" s="2" t="s">
        <v>446</v>
      </c>
    </row>
    <row r="95" spans="1:1" x14ac:dyDescent="0.25">
      <c r="A95" s="2" t="s">
        <v>447</v>
      </c>
    </row>
    <row r="96" spans="1:1" x14ac:dyDescent="0.25">
      <c r="A96" s="2" t="s">
        <v>448</v>
      </c>
    </row>
  </sheetData>
  <sortState ref="A70:A96">
    <sortCondition ref="A70:A96"/>
  </sortState>
  <phoneticPr fontId="8" type="noConversion"/>
  <pageMargins left="0.7" right="0.7" top="0.75" bottom="0.75" header="0.3" footer="0.3"/>
  <pageSetup paperSize="9" orientation="portrait" horizontalDpi="180" verticalDpi="18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269"/>
  <sheetViews>
    <sheetView topLeftCell="A202" workbookViewId="0">
      <selection activeCell="D217" sqref="D217"/>
    </sheetView>
  </sheetViews>
  <sheetFormatPr defaultRowHeight="15" x14ac:dyDescent="0.25"/>
  <cols>
    <col min="2" max="2" width="35.140625" customWidth="1"/>
    <col min="3" max="3" width="11.28515625" customWidth="1"/>
    <col min="4" max="4" width="38.42578125" bestFit="1" customWidth="1"/>
    <col min="5" max="5" width="14.5703125" bestFit="1" customWidth="1"/>
    <col min="6" max="6" width="8.85546875" customWidth="1"/>
    <col min="7" max="7" width="14.7109375" bestFit="1" customWidth="1"/>
    <col min="8" max="12" width="9.5703125" bestFit="1" customWidth="1"/>
  </cols>
  <sheetData>
    <row r="1" spans="1:9" ht="26.25" x14ac:dyDescent="0.25">
      <c r="A1" s="67"/>
      <c r="B1" s="65" t="s">
        <v>20</v>
      </c>
      <c r="C1" s="41" t="s">
        <v>292</v>
      </c>
      <c r="D1" s="41" t="s">
        <v>182</v>
      </c>
      <c r="E1" s="41" t="s">
        <v>30</v>
      </c>
      <c r="F1" s="41" t="s">
        <v>31</v>
      </c>
      <c r="G1" s="41" t="s">
        <v>32</v>
      </c>
      <c r="H1" s="41" t="s">
        <v>33</v>
      </c>
      <c r="I1" s="78" t="s">
        <v>41</v>
      </c>
    </row>
    <row r="2" spans="1:9" x14ac:dyDescent="0.25">
      <c r="A2" s="67">
        <v>1</v>
      </c>
      <c r="B2" s="3" t="s">
        <v>331</v>
      </c>
      <c r="C2" s="90">
        <v>0</v>
      </c>
      <c r="D2" s="90">
        <v>1.6266666666666665</v>
      </c>
      <c r="E2" s="90">
        <v>4.75</v>
      </c>
      <c r="F2" s="91">
        <v>6.3342857142857145</v>
      </c>
      <c r="G2" s="91">
        <v>0</v>
      </c>
      <c r="H2" s="91">
        <v>4</v>
      </c>
      <c r="I2" s="92">
        <v>2.2000000000000002</v>
      </c>
    </row>
    <row r="3" spans="1:9" x14ac:dyDescent="0.25">
      <c r="A3" s="67">
        <v>2</v>
      </c>
      <c r="B3" s="3" t="s">
        <v>324</v>
      </c>
      <c r="C3" s="90">
        <v>0.5</v>
      </c>
      <c r="D3" s="90">
        <v>6.0156000000000001</v>
      </c>
      <c r="E3" s="90">
        <v>9.2166666666666668</v>
      </c>
      <c r="F3" s="91">
        <v>10.0092</v>
      </c>
      <c r="G3" s="91">
        <v>8.0564999999999998</v>
      </c>
      <c r="H3" s="91">
        <v>6.743823529411765</v>
      </c>
      <c r="I3" s="92">
        <v>2.7</v>
      </c>
    </row>
    <row r="4" spans="1:9" x14ac:dyDescent="0.25">
      <c r="A4" s="67">
        <v>3</v>
      </c>
      <c r="B4" s="3" t="s">
        <v>336</v>
      </c>
      <c r="C4" s="90">
        <v>0</v>
      </c>
      <c r="D4" s="90">
        <v>0</v>
      </c>
      <c r="E4" s="90">
        <v>0</v>
      </c>
      <c r="F4" s="91">
        <v>0</v>
      </c>
      <c r="G4" s="91">
        <v>0</v>
      </c>
      <c r="H4" s="91">
        <v>0</v>
      </c>
      <c r="I4" s="92">
        <v>-2.2000000000000002</v>
      </c>
    </row>
    <row r="5" spans="1:9" x14ac:dyDescent="0.25">
      <c r="A5" s="67">
        <v>4</v>
      </c>
      <c r="B5" s="3" t="s">
        <v>327</v>
      </c>
      <c r="C5" s="90">
        <v>2.368125</v>
      </c>
      <c r="D5" s="90">
        <v>2.6666666666666665</v>
      </c>
      <c r="E5" s="90">
        <v>0.625</v>
      </c>
      <c r="F5" s="91">
        <v>6.4857142857142858</v>
      </c>
      <c r="G5" s="91">
        <v>0</v>
      </c>
      <c r="H5" s="91">
        <v>4</v>
      </c>
      <c r="I5" s="92">
        <v>0.2</v>
      </c>
    </row>
    <row r="6" spans="1:9" x14ac:dyDescent="0.25">
      <c r="A6" s="67">
        <v>5</v>
      </c>
      <c r="B6" s="3" t="s">
        <v>330</v>
      </c>
      <c r="C6" s="90">
        <v>0</v>
      </c>
      <c r="D6" s="90">
        <v>6.2676000000000007</v>
      </c>
      <c r="E6" s="90">
        <v>6.2895833333333337</v>
      </c>
      <c r="F6" s="91">
        <v>7.2285714285714286</v>
      </c>
      <c r="G6" s="91">
        <v>0</v>
      </c>
      <c r="H6" s="91">
        <v>7.4258823529411764</v>
      </c>
      <c r="I6" s="92">
        <v>2.3000000000000003</v>
      </c>
    </row>
    <row r="7" spans="1:9" x14ac:dyDescent="0.25">
      <c r="A7" s="67">
        <v>6</v>
      </c>
      <c r="B7" s="3" t="s">
        <v>325</v>
      </c>
      <c r="C7" s="90">
        <v>1.0175000000000001</v>
      </c>
      <c r="D7" s="90">
        <v>4.0642105263157893</v>
      </c>
      <c r="E7" s="90">
        <v>5.83</v>
      </c>
      <c r="F7" s="91">
        <v>6.6</v>
      </c>
      <c r="G7" s="91">
        <v>4.2</v>
      </c>
      <c r="H7" s="91">
        <v>4</v>
      </c>
      <c r="I7" s="92">
        <v>2.4000000000000004</v>
      </c>
    </row>
    <row r="8" spans="1:9" x14ac:dyDescent="0.25">
      <c r="A8" s="67">
        <v>7</v>
      </c>
      <c r="B8" s="3" t="s">
        <v>320</v>
      </c>
      <c r="C8" s="90">
        <v>0</v>
      </c>
      <c r="D8" s="90">
        <v>3.0666666666666669</v>
      </c>
      <c r="E8" s="90">
        <v>6.1643749999999997</v>
      </c>
      <c r="F8" s="91">
        <v>7.4428571428571431</v>
      </c>
      <c r="G8" s="91">
        <v>4.8</v>
      </c>
      <c r="H8" s="91">
        <v>2</v>
      </c>
      <c r="I8" s="92">
        <v>2.6</v>
      </c>
    </row>
    <row r="9" spans="1:9" x14ac:dyDescent="0.25">
      <c r="A9" s="67">
        <v>8</v>
      </c>
      <c r="B9" s="3" t="s">
        <v>335</v>
      </c>
      <c r="C9" s="90">
        <v>0</v>
      </c>
      <c r="D9" s="90">
        <v>0</v>
      </c>
      <c r="E9" s="90">
        <v>0</v>
      </c>
      <c r="F9" s="91">
        <v>0</v>
      </c>
      <c r="G9" s="91">
        <v>0</v>
      </c>
      <c r="H9" s="91">
        <v>4</v>
      </c>
      <c r="I9" s="92">
        <v>-0.30000000000000004</v>
      </c>
    </row>
    <row r="10" spans="1:9" x14ac:dyDescent="0.25">
      <c r="A10" s="67">
        <v>9</v>
      </c>
      <c r="B10" s="3" t="s">
        <v>321</v>
      </c>
      <c r="C10" s="90">
        <v>0</v>
      </c>
      <c r="D10" s="90">
        <v>0</v>
      </c>
      <c r="E10" s="90">
        <v>0</v>
      </c>
      <c r="F10" s="91">
        <v>0</v>
      </c>
      <c r="G10" s="91">
        <v>0</v>
      </c>
      <c r="H10" s="91">
        <v>4</v>
      </c>
      <c r="I10" s="92">
        <v>1.5</v>
      </c>
    </row>
    <row r="11" spans="1:9" x14ac:dyDescent="0.25">
      <c r="A11" s="67">
        <v>10</v>
      </c>
      <c r="B11" s="3" t="s">
        <v>314</v>
      </c>
      <c r="C11" s="90">
        <v>0</v>
      </c>
      <c r="D11" s="90">
        <v>0</v>
      </c>
      <c r="E11" s="90">
        <v>0</v>
      </c>
      <c r="F11" s="91">
        <v>0</v>
      </c>
      <c r="G11" s="91">
        <v>0</v>
      </c>
      <c r="H11" s="91">
        <v>0</v>
      </c>
      <c r="I11" s="92">
        <v>0</v>
      </c>
    </row>
    <row r="12" spans="1:9" x14ac:dyDescent="0.25">
      <c r="A12" s="67">
        <v>11</v>
      </c>
      <c r="B12" s="3" t="s">
        <v>316</v>
      </c>
      <c r="C12" s="90">
        <v>2.1187499999999999</v>
      </c>
      <c r="D12" s="90">
        <v>4.3326315789473684</v>
      </c>
      <c r="E12" s="90">
        <v>5.4375</v>
      </c>
      <c r="F12" s="91">
        <v>6.194285714285714</v>
      </c>
      <c r="G12" s="91">
        <v>2</v>
      </c>
      <c r="H12" s="91">
        <v>4</v>
      </c>
      <c r="I12" s="92">
        <v>2.5</v>
      </c>
    </row>
    <row r="13" spans="1:9" x14ac:dyDescent="0.25">
      <c r="A13" s="67">
        <v>12</v>
      </c>
      <c r="B13" s="3" t="s">
        <v>328</v>
      </c>
      <c r="C13" s="90">
        <v>0</v>
      </c>
      <c r="D13" s="90">
        <v>0</v>
      </c>
      <c r="E13" s="90">
        <v>0</v>
      </c>
      <c r="F13" s="91">
        <v>0</v>
      </c>
      <c r="G13" s="91">
        <v>0</v>
      </c>
      <c r="H13" s="91">
        <v>0</v>
      </c>
      <c r="I13" s="92">
        <v>-0.8</v>
      </c>
    </row>
    <row r="14" spans="1:9" x14ac:dyDescent="0.25">
      <c r="A14" s="67">
        <v>13</v>
      </c>
      <c r="B14" s="3" t="s">
        <v>322</v>
      </c>
      <c r="C14" s="90">
        <v>0</v>
      </c>
      <c r="D14" s="90">
        <v>0</v>
      </c>
      <c r="E14" s="90">
        <v>0</v>
      </c>
      <c r="F14" s="91">
        <v>0</v>
      </c>
      <c r="G14" s="91">
        <v>0</v>
      </c>
      <c r="H14" s="91">
        <v>3</v>
      </c>
      <c r="I14" s="92">
        <v>1.4000000000000001</v>
      </c>
    </row>
    <row r="15" spans="1:9" x14ac:dyDescent="0.25">
      <c r="A15" s="67">
        <v>14</v>
      </c>
      <c r="B15" s="3" t="s">
        <v>332</v>
      </c>
      <c r="C15" s="90">
        <v>0</v>
      </c>
      <c r="D15" s="90">
        <v>0</v>
      </c>
      <c r="E15" s="90">
        <v>0</v>
      </c>
      <c r="F15" s="91">
        <v>0</v>
      </c>
      <c r="G15" s="91">
        <v>0</v>
      </c>
      <c r="H15" s="91">
        <v>0</v>
      </c>
      <c r="I15" s="92">
        <v>-0.70000000000000007</v>
      </c>
    </row>
    <row r="16" spans="1:9" x14ac:dyDescent="0.25">
      <c r="A16" s="67">
        <v>15</v>
      </c>
      <c r="B16" s="3" t="s">
        <v>329</v>
      </c>
      <c r="C16" s="90">
        <v>0</v>
      </c>
      <c r="D16" s="90">
        <v>4.6315789473684212</v>
      </c>
      <c r="E16" s="90">
        <v>1.0499999999999998</v>
      </c>
      <c r="F16" s="91">
        <v>0</v>
      </c>
      <c r="G16" s="91">
        <v>6.2921052631578949</v>
      </c>
      <c r="H16" s="91">
        <v>2</v>
      </c>
      <c r="I16" s="92">
        <v>2.3000000000000003</v>
      </c>
    </row>
    <row r="17" spans="1:9" x14ac:dyDescent="0.25">
      <c r="A17" s="67">
        <v>16</v>
      </c>
      <c r="B17" s="3" t="s">
        <v>318</v>
      </c>
      <c r="C17" s="90">
        <v>0</v>
      </c>
      <c r="D17" s="90">
        <v>0.47999999999999993</v>
      </c>
      <c r="E17" s="90">
        <v>0</v>
      </c>
      <c r="F17" s="91">
        <v>0</v>
      </c>
      <c r="G17" s="91">
        <v>0</v>
      </c>
      <c r="H17" s="91">
        <v>3</v>
      </c>
      <c r="I17" s="92">
        <v>1.8</v>
      </c>
    </row>
    <row r="18" spans="1:9" x14ac:dyDescent="0.25">
      <c r="A18" s="67">
        <v>17</v>
      </c>
      <c r="B18" s="3" t="s">
        <v>334</v>
      </c>
      <c r="C18" s="90">
        <v>0</v>
      </c>
      <c r="D18" s="90">
        <v>4.0147368421052629</v>
      </c>
      <c r="E18" s="90">
        <v>5.1749999999999998</v>
      </c>
      <c r="F18" s="91">
        <v>0</v>
      </c>
      <c r="G18" s="91">
        <v>0</v>
      </c>
      <c r="H18" s="91">
        <v>4</v>
      </c>
      <c r="I18" s="92">
        <v>1</v>
      </c>
    </row>
    <row r="19" spans="1:9" x14ac:dyDescent="0.25">
      <c r="A19" s="67">
        <v>18</v>
      </c>
      <c r="B19" s="3" t="s">
        <v>319</v>
      </c>
      <c r="C19" s="90">
        <v>0</v>
      </c>
      <c r="D19" s="90">
        <v>5.1623999999999999</v>
      </c>
      <c r="E19" s="90">
        <v>7.2781250000000002</v>
      </c>
      <c r="F19" s="91">
        <v>6.5857142857142854</v>
      </c>
      <c r="G19" s="91">
        <v>6.5052631578947366</v>
      </c>
      <c r="H19" s="91">
        <v>4</v>
      </c>
      <c r="I19" s="92">
        <v>2.5</v>
      </c>
    </row>
    <row r="20" spans="1:9" x14ac:dyDescent="0.25">
      <c r="A20" s="67"/>
      <c r="B20" s="3" t="s">
        <v>338</v>
      </c>
      <c r="C20" s="90"/>
      <c r="D20" s="90"/>
      <c r="E20" s="90"/>
      <c r="F20" s="91"/>
      <c r="G20" s="91"/>
      <c r="H20" s="91"/>
      <c r="I20" s="92"/>
    </row>
    <row r="21" spans="1:9" x14ac:dyDescent="0.25">
      <c r="A21" s="67">
        <v>19</v>
      </c>
      <c r="B21" s="3" t="s">
        <v>323</v>
      </c>
      <c r="C21" s="90">
        <v>0</v>
      </c>
      <c r="D21" s="90">
        <v>4.4547368421052633</v>
      </c>
      <c r="E21" s="90">
        <v>5.0674999999999999</v>
      </c>
      <c r="F21" s="91">
        <v>6.6457142857142859</v>
      </c>
      <c r="G21" s="91">
        <v>2</v>
      </c>
      <c r="H21" s="91">
        <v>4</v>
      </c>
      <c r="I21" s="92">
        <v>2.3000000000000003</v>
      </c>
    </row>
    <row r="22" spans="1:9" x14ac:dyDescent="0.25">
      <c r="A22" s="67">
        <v>20</v>
      </c>
      <c r="B22" s="3" t="s">
        <v>315</v>
      </c>
      <c r="C22" s="90">
        <v>0</v>
      </c>
      <c r="D22" s="90">
        <v>0</v>
      </c>
      <c r="E22" s="90">
        <v>0</v>
      </c>
      <c r="F22" s="91">
        <v>0</v>
      </c>
      <c r="G22" s="91">
        <v>0</v>
      </c>
      <c r="H22" s="91">
        <v>2</v>
      </c>
      <c r="I22" s="92">
        <v>1.5</v>
      </c>
    </row>
    <row r="23" spans="1:9" x14ac:dyDescent="0.25">
      <c r="A23" s="67"/>
      <c r="B23" s="3" t="s">
        <v>339</v>
      </c>
      <c r="C23" s="90"/>
      <c r="D23" s="90"/>
      <c r="E23" s="90"/>
      <c r="F23" s="91"/>
      <c r="G23" s="91"/>
      <c r="H23" s="91"/>
      <c r="I23" s="92"/>
    </row>
    <row r="24" spans="1:9" x14ac:dyDescent="0.25">
      <c r="A24" s="67">
        <v>21</v>
      </c>
      <c r="B24" s="3" t="s">
        <v>326</v>
      </c>
      <c r="C24" s="90">
        <v>0</v>
      </c>
      <c r="D24" s="90">
        <v>0</v>
      </c>
      <c r="E24" s="90">
        <v>0</v>
      </c>
      <c r="F24" s="91">
        <v>0</v>
      </c>
      <c r="G24" s="91">
        <v>0</v>
      </c>
      <c r="H24" s="91">
        <v>4</v>
      </c>
      <c r="I24" s="92">
        <v>-0.60000000000000009</v>
      </c>
    </row>
    <row r="25" spans="1:9" x14ac:dyDescent="0.25">
      <c r="A25" s="67">
        <v>22</v>
      </c>
      <c r="B25" s="3" t="s">
        <v>317</v>
      </c>
      <c r="C25" s="90">
        <v>0</v>
      </c>
      <c r="D25" s="90">
        <v>0</v>
      </c>
      <c r="E25" s="90">
        <v>0</v>
      </c>
      <c r="F25" s="91">
        <v>0</v>
      </c>
      <c r="G25" s="91">
        <v>0</v>
      </c>
      <c r="H25" s="91">
        <v>0</v>
      </c>
      <c r="I25" s="92">
        <v>-0.4</v>
      </c>
    </row>
    <row r="26" spans="1:9" x14ac:dyDescent="0.25">
      <c r="A26" s="67">
        <v>23</v>
      </c>
      <c r="B26" s="3" t="s">
        <v>333</v>
      </c>
      <c r="C26" s="90">
        <v>0</v>
      </c>
      <c r="D26" s="90">
        <v>0</v>
      </c>
      <c r="E26" s="90">
        <v>0</v>
      </c>
      <c r="F26" s="91">
        <v>0</v>
      </c>
      <c r="G26" s="91">
        <v>0</v>
      </c>
      <c r="H26" s="91">
        <v>0</v>
      </c>
      <c r="I26" s="92">
        <v>-4.2</v>
      </c>
    </row>
    <row r="27" spans="1:9" ht="26.25" x14ac:dyDescent="0.25">
      <c r="A27" s="67"/>
      <c r="B27" s="65" t="s">
        <v>124</v>
      </c>
      <c r="C27" s="41" t="s">
        <v>292</v>
      </c>
      <c r="D27" s="41" t="s">
        <v>182</v>
      </c>
      <c r="E27" s="41" t="s">
        <v>30</v>
      </c>
      <c r="F27" s="41" t="s">
        <v>31</v>
      </c>
      <c r="G27" s="41" t="s">
        <v>32</v>
      </c>
      <c r="H27" s="41" t="s">
        <v>33</v>
      </c>
      <c r="I27" s="78" t="s">
        <v>41</v>
      </c>
    </row>
    <row r="28" spans="1:9" x14ac:dyDescent="0.25">
      <c r="A28" s="67">
        <v>1</v>
      </c>
      <c r="B28" s="3" t="s">
        <v>280</v>
      </c>
      <c r="C28" s="90">
        <v>0</v>
      </c>
      <c r="D28" s="90">
        <v>0</v>
      </c>
      <c r="E28" s="90">
        <v>0</v>
      </c>
      <c r="F28" s="91">
        <v>0</v>
      </c>
      <c r="G28" s="91">
        <v>0</v>
      </c>
      <c r="H28" s="91">
        <v>0</v>
      </c>
      <c r="I28" s="92">
        <v>0</v>
      </c>
    </row>
    <row r="29" spans="1:9" x14ac:dyDescent="0.25">
      <c r="A29" s="67">
        <v>2</v>
      </c>
      <c r="B29" s="3" t="s">
        <v>284</v>
      </c>
      <c r="C29" s="90">
        <v>0</v>
      </c>
      <c r="D29" s="90">
        <v>0</v>
      </c>
      <c r="E29" s="90">
        <v>0</v>
      </c>
      <c r="F29" s="91">
        <v>0</v>
      </c>
      <c r="G29" s="91">
        <v>0</v>
      </c>
      <c r="H29" s="91">
        <v>0</v>
      </c>
      <c r="I29" s="92">
        <v>0.2</v>
      </c>
    </row>
    <row r="30" spans="1:9" x14ac:dyDescent="0.25">
      <c r="A30" s="67">
        <v>3</v>
      </c>
      <c r="B30" s="3" t="s">
        <v>289</v>
      </c>
      <c r="C30" s="90">
        <v>2.3537500000000002</v>
      </c>
      <c r="D30" s="90">
        <v>4.2178947368421049</v>
      </c>
      <c r="E30" s="90">
        <v>2.5500000000000003</v>
      </c>
      <c r="F30" s="91">
        <v>0</v>
      </c>
      <c r="G30" s="91">
        <v>0</v>
      </c>
      <c r="H30" s="91">
        <v>2</v>
      </c>
      <c r="I30" s="92">
        <v>-0.1</v>
      </c>
    </row>
    <row r="31" spans="1:9" x14ac:dyDescent="0.25">
      <c r="A31" s="67">
        <v>4</v>
      </c>
      <c r="B31" s="3" t="s">
        <v>290</v>
      </c>
      <c r="C31" s="90">
        <v>0</v>
      </c>
      <c r="D31" s="90">
        <v>0</v>
      </c>
      <c r="E31" s="90">
        <v>0</v>
      </c>
      <c r="F31" s="91">
        <v>0</v>
      </c>
      <c r="G31" s="91">
        <v>0</v>
      </c>
      <c r="H31" s="91">
        <v>0</v>
      </c>
      <c r="I31" s="92">
        <v>0.1</v>
      </c>
    </row>
    <row r="32" spans="1:9" x14ac:dyDescent="0.25">
      <c r="A32" s="67">
        <v>5</v>
      </c>
      <c r="B32" s="3" t="s">
        <v>281</v>
      </c>
      <c r="C32" s="90">
        <v>2.395</v>
      </c>
      <c r="D32" s="90">
        <v>5.4535999999999998</v>
      </c>
      <c r="E32" s="90">
        <v>1.6875</v>
      </c>
      <c r="F32" s="91">
        <v>0</v>
      </c>
      <c r="G32" s="91">
        <v>0</v>
      </c>
      <c r="H32" s="91">
        <v>0</v>
      </c>
      <c r="I32" s="92">
        <v>1.2000000000000002</v>
      </c>
    </row>
    <row r="33" spans="1:9" x14ac:dyDescent="0.25">
      <c r="A33" s="67">
        <v>6</v>
      </c>
      <c r="B33" s="3" t="s">
        <v>279</v>
      </c>
      <c r="C33" s="90">
        <v>0</v>
      </c>
      <c r="D33" s="90">
        <v>0</v>
      </c>
      <c r="E33" s="90">
        <v>0</v>
      </c>
      <c r="F33" s="91">
        <v>0</v>
      </c>
      <c r="G33" s="91">
        <v>0</v>
      </c>
      <c r="H33" s="91">
        <v>0</v>
      </c>
      <c r="I33" s="92">
        <v>-0.70000000000000007</v>
      </c>
    </row>
    <row r="34" spans="1:9" x14ac:dyDescent="0.25">
      <c r="A34" s="67">
        <v>7</v>
      </c>
      <c r="B34" s="3" t="s">
        <v>282</v>
      </c>
      <c r="C34" s="90">
        <v>2.2974999999999999</v>
      </c>
      <c r="D34" s="90">
        <v>6.1580000000000004</v>
      </c>
      <c r="E34" s="90">
        <v>7.229166666666667</v>
      </c>
      <c r="F34" s="91">
        <v>5.4</v>
      </c>
      <c r="G34" s="91">
        <v>0</v>
      </c>
      <c r="H34" s="91">
        <v>6.2549999999999999</v>
      </c>
      <c r="I34" s="92">
        <v>1.7000000000000002</v>
      </c>
    </row>
    <row r="35" spans="1:9" x14ac:dyDescent="0.25">
      <c r="A35" s="67">
        <v>8</v>
      </c>
      <c r="B35" s="3" t="s">
        <v>285</v>
      </c>
      <c r="C35" s="90">
        <v>0</v>
      </c>
      <c r="D35" s="90">
        <v>0</v>
      </c>
      <c r="E35" s="90">
        <v>0</v>
      </c>
      <c r="F35" s="91">
        <v>0</v>
      </c>
      <c r="G35" s="91">
        <v>0</v>
      </c>
      <c r="H35" s="91">
        <v>0</v>
      </c>
      <c r="I35" s="92">
        <v>1</v>
      </c>
    </row>
    <row r="36" spans="1:9" x14ac:dyDescent="0.25">
      <c r="A36" s="67">
        <v>9</v>
      </c>
      <c r="B36" s="3" t="s">
        <v>291</v>
      </c>
      <c r="C36" s="90">
        <v>0</v>
      </c>
      <c r="D36" s="90">
        <v>0</v>
      </c>
      <c r="E36" s="90">
        <v>0</v>
      </c>
      <c r="F36" s="91">
        <v>0</v>
      </c>
      <c r="G36" s="91">
        <v>0</v>
      </c>
      <c r="H36" s="91">
        <v>0</v>
      </c>
      <c r="I36" s="92">
        <v>1.6</v>
      </c>
    </row>
    <row r="37" spans="1:9" x14ac:dyDescent="0.25">
      <c r="A37" s="67">
        <v>10</v>
      </c>
      <c r="B37" s="3" t="s">
        <v>286</v>
      </c>
      <c r="C37" s="90">
        <v>0.99</v>
      </c>
      <c r="D37" s="90">
        <v>4</v>
      </c>
      <c r="E37" s="90">
        <v>0</v>
      </c>
      <c r="F37" s="91">
        <v>0</v>
      </c>
      <c r="G37" s="91">
        <v>0</v>
      </c>
      <c r="H37" s="91">
        <v>0</v>
      </c>
      <c r="I37" s="92">
        <v>-0.1</v>
      </c>
    </row>
    <row r="38" spans="1:9" x14ac:dyDescent="0.25">
      <c r="A38" s="67">
        <v>11</v>
      </c>
      <c r="B38" s="3" t="s">
        <v>288</v>
      </c>
      <c r="C38" s="90">
        <v>0</v>
      </c>
      <c r="D38" s="90">
        <v>0</v>
      </c>
      <c r="E38" s="90">
        <v>0</v>
      </c>
      <c r="F38" s="91">
        <v>0</v>
      </c>
      <c r="G38" s="91">
        <v>0</v>
      </c>
      <c r="H38" s="91">
        <v>0</v>
      </c>
      <c r="I38" s="92">
        <v>0.5</v>
      </c>
    </row>
    <row r="39" spans="1:9" x14ac:dyDescent="0.25">
      <c r="A39" s="67">
        <v>12</v>
      </c>
      <c r="B39" s="3" t="s">
        <v>283</v>
      </c>
      <c r="C39" s="90">
        <v>0</v>
      </c>
      <c r="D39" s="90">
        <v>4.3768421052631581</v>
      </c>
      <c r="E39" s="90">
        <v>4.9000000000000004</v>
      </c>
      <c r="F39" s="91">
        <v>6.8535714285714286</v>
      </c>
      <c r="G39" s="91">
        <v>0</v>
      </c>
      <c r="H39" s="91">
        <v>0</v>
      </c>
      <c r="I39" s="92">
        <v>2</v>
      </c>
    </row>
    <row r="40" spans="1:9" x14ac:dyDescent="0.25">
      <c r="A40" s="67">
        <v>13</v>
      </c>
      <c r="B40" s="3" t="s">
        <v>287</v>
      </c>
      <c r="C40" s="90">
        <v>0</v>
      </c>
      <c r="D40" s="90">
        <v>1.9199999999999997</v>
      </c>
      <c r="E40" s="90">
        <v>0</v>
      </c>
      <c r="F40" s="91">
        <v>0</v>
      </c>
      <c r="G40" s="91">
        <v>0</v>
      </c>
      <c r="H40" s="91">
        <v>0</v>
      </c>
      <c r="I40" s="92">
        <v>-0.5</v>
      </c>
    </row>
    <row r="41" spans="1:9" x14ac:dyDescent="0.25">
      <c r="A41" s="67">
        <v>14</v>
      </c>
      <c r="B41" s="3" t="s">
        <v>278</v>
      </c>
      <c r="C41" s="90">
        <v>0</v>
      </c>
      <c r="D41" s="90">
        <v>0</v>
      </c>
      <c r="E41" s="90">
        <v>0</v>
      </c>
      <c r="F41" s="91">
        <v>0</v>
      </c>
      <c r="G41" s="91">
        <v>0</v>
      </c>
      <c r="H41" s="91">
        <v>0</v>
      </c>
      <c r="I41" s="92">
        <v>-0.2</v>
      </c>
    </row>
    <row r="42" spans="1:9" x14ac:dyDescent="0.25">
      <c r="A42" s="67">
        <v>15</v>
      </c>
      <c r="B42" s="3"/>
      <c r="C42" s="90">
        <v>0</v>
      </c>
      <c r="D42" s="90">
        <v>0</v>
      </c>
      <c r="E42" s="90">
        <v>0</v>
      </c>
      <c r="F42" s="91">
        <v>0</v>
      </c>
      <c r="G42" s="91">
        <v>0</v>
      </c>
      <c r="H42" s="91">
        <v>0</v>
      </c>
      <c r="I42" s="92">
        <v>0</v>
      </c>
    </row>
    <row r="43" spans="1:9" x14ac:dyDescent="0.25">
      <c r="A43" s="67">
        <v>16</v>
      </c>
      <c r="B43" s="3"/>
      <c r="C43" s="90">
        <v>0</v>
      </c>
      <c r="D43" s="90">
        <v>0</v>
      </c>
      <c r="E43" s="90">
        <v>0</v>
      </c>
      <c r="F43" s="91">
        <v>0</v>
      </c>
      <c r="G43" s="91">
        <v>0</v>
      </c>
      <c r="H43" s="91">
        <v>0</v>
      </c>
      <c r="I43" s="92">
        <v>0</v>
      </c>
    </row>
    <row r="47" spans="1:9" x14ac:dyDescent="0.25">
      <c r="B47" t="s">
        <v>20</v>
      </c>
      <c r="C47" t="s">
        <v>182</v>
      </c>
      <c r="D47" t="s">
        <v>30</v>
      </c>
      <c r="E47" t="s">
        <v>41</v>
      </c>
    </row>
    <row r="48" spans="1:9" x14ac:dyDescent="0.25">
      <c r="A48">
        <v>1</v>
      </c>
      <c r="B48" t="s">
        <v>366</v>
      </c>
      <c r="C48" s="130">
        <v>6.0456000000000003</v>
      </c>
      <c r="D48" s="130">
        <v>6.4391666666666669</v>
      </c>
      <c r="E48">
        <v>1.7000000000000002</v>
      </c>
    </row>
    <row r="49" spans="1:5" x14ac:dyDescent="0.25">
      <c r="A49">
        <v>2</v>
      </c>
      <c r="B49" t="s">
        <v>367</v>
      </c>
      <c r="C49" s="130">
        <v>0</v>
      </c>
      <c r="D49" s="130">
        <v>0</v>
      </c>
      <c r="E49">
        <v>0.8</v>
      </c>
    </row>
    <row r="50" spans="1:5" x14ac:dyDescent="0.25">
      <c r="A50">
        <v>3</v>
      </c>
      <c r="B50" t="s">
        <v>368</v>
      </c>
      <c r="C50" s="130">
        <v>4.242105263157895</v>
      </c>
      <c r="D50" s="130">
        <v>0</v>
      </c>
      <c r="E50">
        <v>0.70000000000000007</v>
      </c>
    </row>
    <row r="51" spans="1:5" x14ac:dyDescent="0.25">
      <c r="A51">
        <v>4</v>
      </c>
      <c r="B51" t="s">
        <v>369</v>
      </c>
      <c r="C51" s="130">
        <v>2.1333333333333333</v>
      </c>
      <c r="D51" s="130">
        <v>0</v>
      </c>
      <c r="E51">
        <v>1.1000000000000001</v>
      </c>
    </row>
    <row r="52" spans="1:5" x14ac:dyDescent="0.25">
      <c r="A52">
        <v>5</v>
      </c>
      <c r="B52" t="s">
        <v>370</v>
      </c>
      <c r="C52" s="130">
        <v>4.6294736842105264</v>
      </c>
      <c r="D52" s="130">
        <v>3.85</v>
      </c>
      <c r="E52">
        <v>1.2000000000000002</v>
      </c>
    </row>
    <row r="53" spans="1:5" x14ac:dyDescent="0.25">
      <c r="A53">
        <v>6</v>
      </c>
      <c r="B53" t="s">
        <v>371</v>
      </c>
      <c r="C53" s="130">
        <v>4.1092105263157892</v>
      </c>
      <c r="D53" s="130">
        <v>0</v>
      </c>
      <c r="E53">
        <v>-1.1000000000000001</v>
      </c>
    </row>
    <row r="54" spans="1:5" x14ac:dyDescent="0.25">
      <c r="A54">
        <v>7</v>
      </c>
      <c r="B54" t="s">
        <v>372</v>
      </c>
      <c r="C54" s="130">
        <v>4.7368421052631575</v>
      </c>
      <c r="D54" s="130">
        <v>2.6875</v>
      </c>
      <c r="E54">
        <v>1.4000000000000001</v>
      </c>
    </row>
    <row r="55" spans="1:5" x14ac:dyDescent="0.25">
      <c r="A55">
        <v>8</v>
      </c>
      <c r="B55" t="s">
        <v>345</v>
      </c>
      <c r="C55" s="130">
        <v>5.1498999999999997</v>
      </c>
      <c r="D55" s="130">
        <v>5.4680147058823527</v>
      </c>
      <c r="E55">
        <v>1.7000000000000002</v>
      </c>
    </row>
    <row r="56" spans="1:5" x14ac:dyDescent="0.25">
      <c r="A56">
        <v>9</v>
      </c>
      <c r="B56" t="s">
        <v>403</v>
      </c>
      <c r="C56" s="130">
        <v>4.1028947368421056</v>
      </c>
      <c r="D56" s="130">
        <v>0</v>
      </c>
      <c r="E56">
        <v>1.1000000000000001</v>
      </c>
    </row>
    <row r="57" spans="1:5" x14ac:dyDescent="0.25">
      <c r="A57">
        <v>10</v>
      </c>
      <c r="B57" t="s">
        <v>373</v>
      </c>
      <c r="C57" s="130">
        <v>4.0778947368421052</v>
      </c>
      <c r="D57" s="130">
        <v>4.5625</v>
      </c>
      <c r="E57">
        <v>1.4000000000000001</v>
      </c>
    </row>
    <row r="58" spans="1:5" x14ac:dyDescent="0.25">
      <c r="A58">
        <v>11</v>
      </c>
      <c r="B58" t="s">
        <v>374</v>
      </c>
      <c r="C58" s="130">
        <v>4.7894736842105265</v>
      </c>
      <c r="D58" s="130">
        <v>0</v>
      </c>
      <c r="E58">
        <v>1.1000000000000001</v>
      </c>
    </row>
    <row r="59" spans="1:5" x14ac:dyDescent="0.25">
      <c r="A59">
        <v>12</v>
      </c>
      <c r="B59" t="s">
        <v>375</v>
      </c>
      <c r="C59" s="130">
        <v>4.1663157894736846</v>
      </c>
      <c r="D59" s="130">
        <v>0</v>
      </c>
      <c r="E59">
        <v>0.30000000000000004</v>
      </c>
    </row>
    <row r="60" spans="1:5" x14ac:dyDescent="0.25">
      <c r="A60">
        <v>13</v>
      </c>
      <c r="B60" t="s">
        <v>376</v>
      </c>
      <c r="C60" s="130">
        <v>5.8360000000000003</v>
      </c>
      <c r="D60" s="130">
        <v>5.7647058823529411</v>
      </c>
      <c r="E60">
        <v>1.7000000000000002</v>
      </c>
    </row>
    <row r="61" spans="1:5" x14ac:dyDescent="0.25">
      <c r="A61">
        <v>14</v>
      </c>
      <c r="B61" t="s">
        <v>377</v>
      </c>
      <c r="C61" s="130">
        <v>0</v>
      </c>
      <c r="D61" s="130">
        <v>0</v>
      </c>
      <c r="E61">
        <v>-3.8000000000000003</v>
      </c>
    </row>
    <row r="62" spans="1:5" x14ac:dyDescent="0.25">
      <c r="A62">
        <v>15</v>
      </c>
      <c r="B62" t="s">
        <v>378</v>
      </c>
      <c r="C62" s="130">
        <v>3.3333333333333335</v>
      </c>
      <c r="D62" s="130">
        <v>0</v>
      </c>
      <c r="E62">
        <v>0.2</v>
      </c>
    </row>
    <row r="63" spans="1:5" x14ac:dyDescent="0.25">
      <c r="A63">
        <v>16</v>
      </c>
      <c r="B63" t="s">
        <v>379</v>
      </c>
      <c r="C63" s="130">
        <v>4.6273684210526316</v>
      </c>
      <c r="D63" s="130">
        <v>5.0378676470588237</v>
      </c>
      <c r="E63">
        <v>1.6</v>
      </c>
    </row>
    <row r="64" spans="1:5" x14ac:dyDescent="0.25">
      <c r="A64">
        <v>17</v>
      </c>
      <c r="B64" t="s">
        <v>380</v>
      </c>
      <c r="C64" s="130">
        <v>0</v>
      </c>
      <c r="D64" s="130">
        <v>0</v>
      </c>
      <c r="E64">
        <v>0.70000000000000007</v>
      </c>
    </row>
    <row r="65" spans="1:5" x14ac:dyDescent="0.25">
      <c r="A65">
        <v>18</v>
      </c>
      <c r="B65" t="s">
        <v>381</v>
      </c>
      <c r="C65" s="130">
        <v>4.0789473684210522</v>
      </c>
      <c r="D65" s="130">
        <v>0</v>
      </c>
      <c r="E65">
        <v>1</v>
      </c>
    </row>
    <row r="66" spans="1:5" x14ac:dyDescent="0.25">
      <c r="A66">
        <v>19</v>
      </c>
      <c r="B66" t="s">
        <v>382</v>
      </c>
      <c r="C66" s="130">
        <v>4.1136842105263156</v>
      </c>
      <c r="D66" s="130">
        <v>0</v>
      </c>
      <c r="E66">
        <v>1.1000000000000001</v>
      </c>
    </row>
    <row r="67" spans="1:5" x14ac:dyDescent="0.25">
      <c r="A67">
        <v>20</v>
      </c>
      <c r="B67" t="s">
        <v>383</v>
      </c>
      <c r="C67" s="130">
        <v>1</v>
      </c>
      <c r="D67" s="130">
        <v>1.7625</v>
      </c>
      <c r="E67">
        <v>0.4</v>
      </c>
    </row>
    <row r="68" spans="1:5" x14ac:dyDescent="0.25">
      <c r="A68">
        <v>21</v>
      </c>
      <c r="B68" t="s">
        <v>384</v>
      </c>
      <c r="C68" s="130">
        <v>2.2400000000000002</v>
      </c>
      <c r="D68" s="130">
        <v>0</v>
      </c>
      <c r="E68">
        <v>1.2000000000000002</v>
      </c>
    </row>
    <row r="69" spans="1:5" x14ac:dyDescent="0.25">
      <c r="C69">
        <v>0</v>
      </c>
      <c r="D69">
        <v>0</v>
      </c>
      <c r="E69">
        <v>0</v>
      </c>
    </row>
    <row r="70" spans="1:5" x14ac:dyDescent="0.25">
      <c r="B70" t="s">
        <v>124</v>
      </c>
      <c r="C70" t="s">
        <v>182</v>
      </c>
      <c r="D70" t="s">
        <v>30</v>
      </c>
      <c r="E70" t="s">
        <v>41</v>
      </c>
    </row>
    <row r="71" spans="1:5" x14ac:dyDescent="0.25">
      <c r="A71">
        <v>1</v>
      </c>
      <c r="B71" t="s">
        <v>385</v>
      </c>
      <c r="C71">
        <v>5.2431999999999999</v>
      </c>
      <c r="D71">
        <v>5.2352941176470589</v>
      </c>
      <c r="E71">
        <v>1.8</v>
      </c>
    </row>
    <row r="72" spans="1:5" x14ac:dyDescent="0.25">
      <c r="B72" t="s">
        <v>415</v>
      </c>
    </row>
    <row r="73" spans="1:5" x14ac:dyDescent="0.25">
      <c r="A73">
        <v>2</v>
      </c>
      <c r="B73" t="s">
        <v>392</v>
      </c>
      <c r="C73">
        <v>4.2842105263157899</v>
      </c>
      <c r="D73">
        <v>0</v>
      </c>
      <c r="E73">
        <v>0.9</v>
      </c>
    </row>
    <row r="74" spans="1:5" x14ac:dyDescent="0.25">
      <c r="A74">
        <v>3</v>
      </c>
      <c r="B74" t="s">
        <v>386</v>
      </c>
      <c r="C74">
        <v>5.1723999999999997</v>
      </c>
      <c r="D74">
        <v>6.0294117647058822</v>
      </c>
      <c r="E74">
        <v>1.3</v>
      </c>
    </row>
    <row r="75" spans="1:5" x14ac:dyDescent="0.25">
      <c r="A75">
        <v>4</v>
      </c>
      <c r="B75" t="s">
        <v>401</v>
      </c>
      <c r="C75">
        <v>4.0105263157894733</v>
      </c>
      <c r="D75">
        <v>0</v>
      </c>
      <c r="E75">
        <v>1.2000000000000002</v>
      </c>
    </row>
    <row r="76" spans="1:5" x14ac:dyDescent="0.25">
      <c r="A76">
        <v>5</v>
      </c>
      <c r="B76" t="s">
        <v>387</v>
      </c>
      <c r="C76">
        <v>5.2888000000000002</v>
      </c>
      <c r="D76">
        <v>5.9147058823529415</v>
      </c>
      <c r="E76">
        <v>1.1000000000000001</v>
      </c>
    </row>
    <row r="77" spans="1:5" x14ac:dyDescent="0.25">
      <c r="A77">
        <v>6</v>
      </c>
      <c r="B77" t="s">
        <v>400</v>
      </c>
      <c r="C77">
        <v>5.3368000000000002</v>
      </c>
      <c r="D77">
        <v>5.4705882352941178</v>
      </c>
      <c r="E77">
        <v>1.5</v>
      </c>
    </row>
    <row r="78" spans="1:5" x14ac:dyDescent="0.25">
      <c r="B78" t="s">
        <v>416</v>
      </c>
    </row>
    <row r="79" spans="1:5" x14ac:dyDescent="0.25">
      <c r="A79">
        <v>7</v>
      </c>
      <c r="B79" t="s">
        <v>393</v>
      </c>
      <c r="C79">
        <v>2.0666666666666669</v>
      </c>
      <c r="D79">
        <v>0</v>
      </c>
      <c r="E79">
        <v>0.30000000000000004</v>
      </c>
    </row>
    <row r="80" spans="1:5" x14ac:dyDescent="0.25">
      <c r="A80">
        <v>8</v>
      </c>
      <c r="B80" t="s">
        <v>388</v>
      </c>
      <c r="C80">
        <v>0</v>
      </c>
      <c r="D80">
        <v>0</v>
      </c>
      <c r="E80">
        <v>-2.4000000000000004</v>
      </c>
    </row>
    <row r="81" spans="1:13" x14ac:dyDescent="0.25">
      <c r="A81">
        <v>9</v>
      </c>
      <c r="B81" t="s">
        <v>395</v>
      </c>
      <c r="C81">
        <v>3.5</v>
      </c>
      <c r="D81">
        <v>0</v>
      </c>
      <c r="E81">
        <v>1.2000000000000002</v>
      </c>
    </row>
    <row r="82" spans="1:13" x14ac:dyDescent="0.25">
      <c r="A82">
        <v>10</v>
      </c>
      <c r="B82" t="s">
        <v>390</v>
      </c>
      <c r="C82">
        <v>1.6</v>
      </c>
      <c r="D82">
        <v>0</v>
      </c>
      <c r="E82">
        <v>1.1000000000000001</v>
      </c>
    </row>
    <row r="83" spans="1:13" x14ac:dyDescent="0.25">
      <c r="B83" t="s">
        <v>339</v>
      </c>
    </row>
    <row r="84" spans="1:13" x14ac:dyDescent="0.25">
      <c r="B84" t="s">
        <v>417</v>
      </c>
    </row>
    <row r="85" spans="1:13" x14ac:dyDescent="0.25">
      <c r="A85">
        <v>12</v>
      </c>
      <c r="B85" t="s">
        <v>391</v>
      </c>
      <c r="C85">
        <v>2.2666666666666666</v>
      </c>
      <c r="D85">
        <v>0</v>
      </c>
      <c r="E85">
        <v>-0.5</v>
      </c>
    </row>
    <row r="86" spans="1:13" x14ac:dyDescent="0.25">
      <c r="A86">
        <v>13</v>
      </c>
      <c r="B86" t="s">
        <v>389</v>
      </c>
      <c r="C86">
        <v>5.32</v>
      </c>
      <c r="D86">
        <v>6.3916666666666666</v>
      </c>
      <c r="E86">
        <v>0.70000000000000007</v>
      </c>
    </row>
    <row r="87" spans="1:13" x14ac:dyDescent="0.25">
      <c r="A87">
        <v>14</v>
      </c>
      <c r="B87" t="s">
        <v>404</v>
      </c>
      <c r="C87">
        <v>0</v>
      </c>
      <c r="D87">
        <v>0</v>
      </c>
      <c r="E87">
        <v>-3.5</v>
      </c>
    </row>
    <row r="88" spans="1:13" x14ac:dyDescent="0.25">
      <c r="A88">
        <v>15</v>
      </c>
      <c r="B88" t="s">
        <v>394</v>
      </c>
      <c r="C88">
        <v>4.7963157894736845</v>
      </c>
      <c r="D88">
        <v>6.0882352941176467</v>
      </c>
      <c r="E88">
        <v>1.6</v>
      </c>
    </row>
    <row r="89" spans="1:13" x14ac:dyDescent="0.25">
      <c r="C89">
        <v>0</v>
      </c>
      <c r="D89">
        <v>0</v>
      </c>
      <c r="E89">
        <v>0</v>
      </c>
    </row>
    <row r="92" spans="1:13" x14ac:dyDescent="0.25">
      <c r="B92" t="s">
        <v>20</v>
      </c>
      <c r="C92" t="s">
        <v>182</v>
      </c>
      <c r="D92" t="s">
        <v>30</v>
      </c>
      <c r="E92" t="s">
        <v>31</v>
      </c>
      <c r="F92" t="s">
        <v>32</v>
      </c>
      <c r="G92" t="s">
        <v>33</v>
      </c>
      <c r="H92" t="s">
        <v>39</v>
      </c>
      <c r="I92" t="s">
        <v>293</v>
      </c>
      <c r="J92" t="s">
        <v>294</v>
      </c>
      <c r="K92" t="s">
        <v>179</v>
      </c>
      <c r="L92" t="s">
        <v>4</v>
      </c>
      <c r="M92" t="s">
        <v>41</v>
      </c>
    </row>
    <row r="93" spans="1:13" x14ac:dyDescent="0.25">
      <c r="A93">
        <v>1</v>
      </c>
      <c r="B93" t="s">
        <v>366</v>
      </c>
      <c r="C93" s="132">
        <v>6.0456000000000003</v>
      </c>
      <c r="D93" s="132">
        <v>6.6791666666666663</v>
      </c>
      <c r="E93" s="132">
        <v>7.7460000000000004</v>
      </c>
      <c r="F93" s="132">
        <v>5.8</v>
      </c>
      <c r="G93" s="132">
        <v>2.2000000000000002</v>
      </c>
      <c r="H93">
        <v>0</v>
      </c>
      <c r="I93">
        <v>0</v>
      </c>
      <c r="M93">
        <v>2.7</v>
      </c>
    </row>
    <row r="94" spans="1:13" x14ac:dyDescent="0.25">
      <c r="A94">
        <v>2</v>
      </c>
      <c r="B94" t="s">
        <v>367</v>
      </c>
      <c r="C94" s="132">
        <v>0</v>
      </c>
      <c r="D94" s="132">
        <v>0</v>
      </c>
      <c r="E94" s="132">
        <v>0</v>
      </c>
      <c r="F94" s="132">
        <v>0</v>
      </c>
      <c r="G94" s="132">
        <v>0</v>
      </c>
      <c r="H94">
        <v>0</v>
      </c>
      <c r="I94">
        <v>0</v>
      </c>
      <c r="M94">
        <v>0.70000000000000007</v>
      </c>
    </row>
    <row r="95" spans="1:13" x14ac:dyDescent="0.25">
      <c r="A95">
        <v>3</v>
      </c>
      <c r="B95" t="s">
        <v>368</v>
      </c>
      <c r="C95" s="132">
        <v>4.5052631578947366</v>
      </c>
      <c r="D95" s="132">
        <v>2.2000000000000002</v>
      </c>
      <c r="E95" s="132">
        <v>0</v>
      </c>
      <c r="F95" s="132">
        <v>0</v>
      </c>
      <c r="G95" s="132">
        <v>0</v>
      </c>
      <c r="H95">
        <v>0</v>
      </c>
      <c r="I95">
        <v>0</v>
      </c>
      <c r="M95">
        <v>0.60000000000000009</v>
      </c>
    </row>
    <row r="96" spans="1:13" x14ac:dyDescent="0.25">
      <c r="A96">
        <v>4</v>
      </c>
      <c r="B96" t="s">
        <v>369</v>
      </c>
      <c r="C96" s="132">
        <v>2.1333333333333333</v>
      </c>
      <c r="D96" s="132">
        <v>1.9375</v>
      </c>
      <c r="E96" s="132">
        <v>0</v>
      </c>
      <c r="F96" s="132">
        <v>0</v>
      </c>
      <c r="G96" s="132">
        <v>2</v>
      </c>
      <c r="H96">
        <v>0</v>
      </c>
      <c r="I96">
        <v>0</v>
      </c>
      <c r="M96">
        <v>2</v>
      </c>
    </row>
    <row r="97" spans="1:13" x14ac:dyDescent="0.25">
      <c r="A97">
        <v>5</v>
      </c>
      <c r="B97" t="s">
        <v>370</v>
      </c>
      <c r="C97" s="132">
        <v>4.6294736842105264</v>
      </c>
      <c r="D97" s="132">
        <v>3.85</v>
      </c>
      <c r="E97" s="132">
        <v>0</v>
      </c>
      <c r="F97" s="132">
        <v>6.2640000000000002</v>
      </c>
      <c r="G97" s="132">
        <v>2</v>
      </c>
      <c r="H97">
        <v>0</v>
      </c>
      <c r="I97">
        <v>0</v>
      </c>
      <c r="M97">
        <v>1.2000000000000002</v>
      </c>
    </row>
    <row r="98" spans="1:13" x14ac:dyDescent="0.25">
      <c r="A98">
        <v>6</v>
      </c>
      <c r="B98" t="s">
        <v>371</v>
      </c>
      <c r="C98" s="132">
        <v>4.1092105263157892</v>
      </c>
      <c r="D98" s="132">
        <v>0</v>
      </c>
      <c r="E98" s="132">
        <v>0</v>
      </c>
      <c r="F98" s="132">
        <v>0</v>
      </c>
      <c r="G98" s="132">
        <v>2</v>
      </c>
      <c r="H98">
        <v>0</v>
      </c>
      <c r="I98">
        <v>0</v>
      </c>
      <c r="M98">
        <v>0</v>
      </c>
    </row>
    <row r="99" spans="1:13" x14ac:dyDescent="0.25">
      <c r="A99">
        <v>7</v>
      </c>
      <c r="B99" t="s">
        <v>372</v>
      </c>
      <c r="C99" s="132">
        <v>4.7368421052631575</v>
      </c>
      <c r="D99" s="132">
        <v>6.0602941176470591</v>
      </c>
      <c r="E99" s="132">
        <v>6.4857142857142858</v>
      </c>
      <c r="F99" s="132">
        <v>6.3150000000000004</v>
      </c>
      <c r="G99" s="132">
        <v>2.2000000000000002</v>
      </c>
      <c r="H99">
        <v>0</v>
      </c>
      <c r="I99">
        <v>0</v>
      </c>
      <c r="M99">
        <v>2.1</v>
      </c>
    </row>
    <row r="100" spans="1:13" x14ac:dyDescent="0.25">
      <c r="A100">
        <v>8</v>
      </c>
      <c r="B100" t="s">
        <v>345</v>
      </c>
      <c r="C100" s="132">
        <v>5.1498999999999997</v>
      </c>
      <c r="D100" s="132">
        <v>6.2512499999999998</v>
      </c>
      <c r="E100" s="132">
        <v>6.5857142857142854</v>
      </c>
      <c r="F100" s="132">
        <v>5.8</v>
      </c>
      <c r="G100" s="132">
        <v>2.2000000000000002</v>
      </c>
      <c r="H100">
        <v>0</v>
      </c>
      <c r="I100">
        <v>0</v>
      </c>
      <c r="M100">
        <v>2.4000000000000004</v>
      </c>
    </row>
    <row r="101" spans="1:13" x14ac:dyDescent="0.25">
      <c r="A101">
        <v>9</v>
      </c>
      <c r="B101" t="s">
        <v>403</v>
      </c>
      <c r="C101" s="132">
        <v>4.4818421052631576</v>
      </c>
      <c r="D101" s="132">
        <v>5.0220588235294121</v>
      </c>
      <c r="E101" s="132">
        <v>0</v>
      </c>
      <c r="F101" s="132">
        <v>0</v>
      </c>
      <c r="G101" s="132">
        <v>0</v>
      </c>
      <c r="H101">
        <v>0</v>
      </c>
      <c r="I101">
        <v>0</v>
      </c>
      <c r="M101">
        <v>1.7000000000000002</v>
      </c>
    </row>
    <row r="102" spans="1:13" x14ac:dyDescent="0.25">
      <c r="A102">
        <v>10</v>
      </c>
      <c r="B102" t="s">
        <v>373</v>
      </c>
      <c r="C102" s="132">
        <v>4.1031578947368423</v>
      </c>
      <c r="D102" s="132">
        <v>5.2176470588235295</v>
      </c>
      <c r="E102" s="132">
        <v>0</v>
      </c>
      <c r="F102" s="132">
        <v>0</v>
      </c>
      <c r="G102" s="132">
        <v>0</v>
      </c>
      <c r="H102">
        <v>0</v>
      </c>
      <c r="I102">
        <v>0</v>
      </c>
      <c r="M102">
        <v>2.2000000000000002</v>
      </c>
    </row>
    <row r="103" spans="1:13" x14ac:dyDescent="0.25">
      <c r="A103">
        <v>11</v>
      </c>
      <c r="B103" t="s">
        <v>374</v>
      </c>
      <c r="C103" s="132">
        <v>4.7894736842105265</v>
      </c>
      <c r="D103" s="132">
        <v>5.2382352941176471</v>
      </c>
      <c r="E103" s="132">
        <v>0</v>
      </c>
      <c r="F103" s="132">
        <v>0</v>
      </c>
      <c r="G103" s="132">
        <v>0</v>
      </c>
      <c r="H103">
        <v>0</v>
      </c>
      <c r="I103">
        <v>0</v>
      </c>
      <c r="M103">
        <v>1.3</v>
      </c>
    </row>
    <row r="104" spans="1:13" x14ac:dyDescent="0.25">
      <c r="A104">
        <v>12</v>
      </c>
      <c r="B104" t="s">
        <v>375</v>
      </c>
      <c r="C104" s="132">
        <v>4.2589473684210528</v>
      </c>
      <c r="D104" s="132">
        <v>1.9750000000000001</v>
      </c>
      <c r="E104" s="132">
        <v>0</v>
      </c>
      <c r="F104" s="132">
        <v>0</v>
      </c>
      <c r="G104" s="132">
        <v>2</v>
      </c>
      <c r="H104">
        <v>0</v>
      </c>
      <c r="I104">
        <v>0</v>
      </c>
      <c r="M104">
        <v>1</v>
      </c>
    </row>
    <row r="105" spans="1:13" x14ac:dyDescent="0.25">
      <c r="A105">
        <v>13</v>
      </c>
      <c r="B105" t="s">
        <v>376</v>
      </c>
      <c r="C105" s="132">
        <v>5.8360000000000003</v>
      </c>
      <c r="D105" s="132">
        <v>6.75</v>
      </c>
      <c r="E105" s="132">
        <v>7.8719999999999999</v>
      </c>
      <c r="F105" s="132">
        <v>0</v>
      </c>
      <c r="G105" s="132">
        <v>0</v>
      </c>
      <c r="H105">
        <v>0</v>
      </c>
      <c r="I105">
        <v>0</v>
      </c>
      <c r="M105">
        <v>2.6</v>
      </c>
    </row>
    <row r="106" spans="1:13" x14ac:dyDescent="0.25">
      <c r="A106">
        <v>14</v>
      </c>
      <c r="B106" t="s">
        <v>377</v>
      </c>
      <c r="C106" s="132">
        <v>0</v>
      </c>
      <c r="D106" s="132">
        <v>0</v>
      </c>
      <c r="E106" s="132">
        <v>0</v>
      </c>
      <c r="F106" s="132">
        <v>0</v>
      </c>
      <c r="G106" s="132">
        <v>0</v>
      </c>
      <c r="H106">
        <v>0</v>
      </c>
      <c r="I106">
        <v>0</v>
      </c>
      <c r="M106">
        <v>0</v>
      </c>
    </row>
    <row r="107" spans="1:13" x14ac:dyDescent="0.25">
      <c r="A107">
        <v>15</v>
      </c>
      <c r="B107" t="s">
        <v>378</v>
      </c>
      <c r="C107" s="132">
        <v>4.3157894736842106</v>
      </c>
      <c r="D107" s="132">
        <v>0</v>
      </c>
      <c r="E107" s="132">
        <v>0</v>
      </c>
      <c r="F107" s="132">
        <v>0</v>
      </c>
      <c r="G107" s="132">
        <v>0</v>
      </c>
      <c r="H107">
        <v>0</v>
      </c>
      <c r="I107">
        <v>0</v>
      </c>
      <c r="M107">
        <v>0</v>
      </c>
    </row>
    <row r="108" spans="1:13" x14ac:dyDescent="0.25">
      <c r="A108">
        <v>16</v>
      </c>
      <c r="B108" t="s">
        <v>379</v>
      </c>
      <c r="C108" s="132">
        <v>4.6273684210526316</v>
      </c>
      <c r="D108" s="132">
        <v>5.8658088235294121</v>
      </c>
      <c r="E108" s="132">
        <v>7.4249999999999998</v>
      </c>
      <c r="F108" s="132">
        <v>0</v>
      </c>
      <c r="G108" s="132">
        <v>0</v>
      </c>
      <c r="H108">
        <v>0</v>
      </c>
      <c r="I108">
        <v>0</v>
      </c>
      <c r="M108">
        <v>2.4000000000000004</v>
      </c>
    </row>
    <row r="109" spans="1:13" x14ac:dyDescent="0.25">
      <c r="A109">
        <v>17</v>
      </c>
      <c r="B109" t="s">
        <v>380</v>
      </c>
      <c r="C109" s="132">
        <v>0</v>
      </c>
      <c r="D109" s="132">
        <v>0</v>
      </c>
      <c r="E109" s="132">
        <v>0</v>
      </c>
      <c r="F109" s="132">
        <v>0</v>
      </c>
      <c r="G109" s="132">
        <v>0</v>
      </c>
      <c r="H109">
        <v>0</v>
      </c>
      <c r="I109">
        <v>0</v>
      </c>
      <c r="M109">
        <v>0.70000000000000007</v>
      </c>
    </row>
    <row r="110" spans="1:13" x14ac:dyDescent="0.25">
      <c r="A110">
        <v>18</v>
      </c>
      <c r="B110" t="s">
        <v>381</v>
      </c>
      <c r="C110" s="132">
        <v>4.0789473684210522</v>
      </c>
      <c r="D110" s="132">
        <v>4.8062500000000004</v>
      </c>
      <c r="E110" s="132">
        <v>0</v>
      </c>
      <c r="F110" s="132">
        <v>0</v>
      </c>
      <c r="G110" s="132">
        <v>0</v>
      </c>
      <c r="H110">
        <v>0</v>
      </c>
      <c r="I110">
        <v>0</v>
      </c>
      <c r="M110">
        <v>1.8</v>
      </c>
    </row>
    <row r="111" spans="1:13" x14ac:dyDescent="0.25">
      <c r="A111">
        <v>19</v>
      </c>
      <c r="B111" t="s">
        <v>382</v>
      </c>
      <c r="C111" s="132">
        <v>4.1136842105263156</v>
      </c>
      <c r="D111" s="132">
        <v>5.117647058823529</v>
      </c>
      <c r="E111" s="132">
        <v>0</v>
      </c>
      <c r="F111" s="132">
        <v>0</v>
      </c>
      <c r="G111" s="132">
        <v>2</v>
      </c>
      <c r="H111">
        <v>0</v>
      </c>
      <c r="I111">
        <v>0</v>
      </c>
      <c r="M111">
        <v>1.6</v>
      </c>
    </row>
    <row r="112" spans="1:13" x14ac:dyDescent="0.25">
      <c r="A112">
        <v>20</v>
      </c>
      <c r="B112" t="s">
        <v>383</v>
      </c>
      <c r="C112" s="132">
        <v>1</v>
      </c>
      <c r="D112" s="132">
        <v>1.7625</v>
      </c>
      <c r="E112" s="132">
        <v>0</v>
      </c>
      <c r="F112" s="132">
        <v>0</v>
      </c>
      <c r="G112" s="132">
        <v>2</v>
      </c>
      <c r="H112">
        <v>0</v>
      </c>
      <c r="I112">
        <v>0</v>
      </c>
      <c r="M112">
        <v>0.5</v>
      </c>
    </row>
    <row r="113" spans="1:13" x14ac:dyDescent="0.25">
      <c r="A113">
        <v>21</v>
      </c>
      <c r="B113" t="s">
        <v>384</v>
      </c>
      <c r="C113" s="132">
        <v>3.3866666666666663</v>
      </c>
      <c r="D113" s="132">
        <v>2.125</v>
      </c>
      <c r="E113" s="132">
        <v>0</v>
      </c>
      <c r="F113" s="132">
        <v>0</v>
      </c>
      <c r="G113" s="132">
        <v>0</v>
      </c>
      <c r="H113">
        <v>0</v>
      </c>
      <c r="I113">
        <v>0</v>
      </c>
      <c r="M113">
        <v>1.9000000000000001</v>
      </c>
    </row>
    <row r="114" spans="1:13" x14ac:dyDescent="0.25"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M114">
        <v>0</v>
      </c>
    </row>
    <row r="115" spans="1:13" x14ac:dyDescent="0.25">
      <c r="B115" t="s">
        <v>124</v>
      </c>
      <c r="C115" t="s">
        <v>182</v>
      </c>
      <c r="D115" t="s">
        <v>30</v>
      </c>
      <c r="E115" t="s">
        <v>31</v>
      </c>
      <c r="F115" t="s">
        <v>32</v>
      </c>
      <c r="G115" t="s">
        <v>33</v>
      </c>
      <c r="H115" t="s">
        <v>39</v>
      </c>
      <c r="I115" t="s">
        <v>293</v>
      </c>
      <c r="J115" t="s">
        <v>294</v>
      </c>
      <c r="K115" t="s">
        <v>179</v>
      </c>
      <c r="L115" t="s">
        <v>4</v>
      </c>
      <c r="M115" t="s">
        <v>41</v>
      </c>
    </row>
    <row r="116" spans="1:13" x14ac:dyDescent="0.25">
      <c r="A116">
        <v>1</v>
      </c>
      <c r="B116" t="s">
        <v>385</v>
      </c>
      <c r="C116" s="132">
        <v>5.2431999999999999</v>
      </c>
      <c r="D116" s="132">
        <v>6.291666666666667</v>
      </c>
      <c r="E116" s="132">
        <v>7.2042857142857146</v>
      </c>
      <c r="F116" s="132">
        <v>5.4</v>
      </c>
      <c r="G116" s="132">
        <v>0</v>
      </c>
      <c r="H116">
        <v>0</v>
      </c>
      <c r="I116">
        <v>0</v>
      </c>
      <c r="M116">
        <v>2.9000000000000004</v>
      </c>
    </row>
    <row r="117" spans="1:13" x14ac:dyDescent="0.25">
      <c r="A117">
        <v>2</v>
      </c>
      <c r="B117" t="s">
        <v>392</v>
      </c>
      <c r="C117" s="132">
        <v>4.2842105263157899</v>
      </c>
      <c r="D117" s="132">
        <v>0</v>
      </c>
      <c r="E117" s="132">
        <v>0</v>
      </c>
      <c r="F117" s="132">
        <v>0</v>
      </c>
      <c r="G117" s="132">
        <v>2.5</v>
      </c>
      <c r="H117">
        <v>0</v>
      </c>
      <c r="I117">
        <v>0</v>
      </c>
      <c r="M117">
        <v>0.2</v>
      </c>
    </row>
    <row r="118" spans="1:13" x14ac:dyDescent="0.25">
      <c r="A118">
        <v>3</v>
      </c>
      <c r="B118" t="s">
        <v>386</v>
      </c>
      <c r="C118" s="132">
        <v>5.1723999999999997</v>
      </c>
      <c r="D118" s="132">
        <v>6.0294117647058822</v>
      </c>
      <c r="E118" s="132">
        <v>8.4323999999999995</v>
      </c>
      <c r="F118" s="132">
        <v>9.9642857142857153</v>
      </c>
      <c r="G118" s="132">
        <v>6.5947058823529412</v>
      </c>
      <c r="H118">
        <v>0</v>
      </c>
      <c r="I118">
        <v>0</v>
      </c>
      <c r="M118">
        <v>2.3000000000000003</v>
      </c>
    </row>
    <row r="119" spans="1:13" x14ac:dyDescent="0.25">
      <c r="A119">
        <v>4</v>
      </c>
      <c r="B119" t="s">
        <v>401</v>
      </c>
      <c r="C119" s="132">
        <v>4.0105263157894733</v>
      </c>
      <c r="D119" s="132">
        <v>0</v>
      </c>
      <c r="E119" s="132">
        <v>0</v>
      </c>
      <c r="F119" s="132">
        <v>0</v>
      </c>
      <c r="G119" s="132">
        <v>4</v>
      </c>
      <c r="H119">
        <v>0</v>
      </c>
      <c r="I119">
        <v>0</v>
      </c>
      <c r="M119">
        <v>1.2000000000000002</v>
      </c>
    </row>
    <row r="120" spans="1:13" x14ac:dyDescent="0.25">
      <c r="A120">
        <v>5</v>
      </c>
      <c r="B120" t="s">
        <v>387</v>
      </c>
      <c r="C120" s="132">
        <v>5.2888000000000002</v>
      </c>
      <c r="D120" s="132">
        <v>6.1926470588235292</v>
      </c>
      <c r="E120" s="132">
        <v>6.8142857142857141</v>
      </c>
      <c r="F120" s="132">
        <v>7.6071428571428577</v>
      </c>
      <c r="G120" s="132">
        <v>2.2000000000000002</v>
      </c>
      <c r="H120">
        <v>0</v>
      </c>
      <c r="I120">
        <v>0</v>
      </c>
      <c r="M120">
        <v>1.7000000000000002</v>
      </c>
    </row>
    <row r="121" spans="1:13" x14ac:dyDescent="0.25">
      <c r="A121">
        <v>6</v>
      </c>
      <c r="B121" t="s">
        <v>400</v>
      </c>
      <c r="C121" s="132">
        <v>5.3368000000000002</v>
      </c>
      <c r="D121" s="132">
        <v>6.2058823529411766</v>
      </c>
      <c r="E121" s="132">
        <v>8.31</v>
      </c>
      <c r="F121" s="132">
        <v>0</v>
      </c>
      <c r="G121" s="132">
        <v>2.8</v>
      </c>
      <c r="H121">
        <v>0</v>
      </c>
      <c r="I121">
        <v>0</v>
      </c>
      <c r="M121">
        <v>2.4000000000000004</v>
      </c>
    </row>
    <row r="122" spans="1:13" x14ac:dyDescent="0.25">
      <c r="A122">
        <v>7</v>
      </c>
      <c r="B122" t="s">
        <v>393</v>
      </c>
      <c r="C122" s="132">
        <v>2.0666666666666669</v>
      </c>
      <c r="D122" s="132">
        <v>0</v>
      </c>
      <c r="E122" s="132">
        <v>0</v>
      </c>
      <c r="F122" s="132">
        <v>0</v>
      </c>
      <c r="G122" s="132">
        <v>2</v>
      </c>
      <c r="H122">
        <v>0</v>
      </c>
      <c r="I122">
        <v>0</v>
      </c>
      <c r="M122">
        <v>0.5</v>
      </c>
    </row>
    <row r="123" spans="1:13" x14ac:dyDescent="0.25">
      <c r="A123">
        <v>8</v>
      </c>
      <c r="B123" t="s">
        <v>395</v>
      </c>
      <c r="C123" s="132">
        <v>3.5</v>
      </c>
      <c r="D123" s="132">
        <v>3.1843749999999997</v>
      </c>
      <c r="E123" s="132">
        <v>0</v>
      </c>
      <c r="F123" s="132">
        <v>0</v>
      </c>
      <c r="G123" s="132">
        <v>2</v>
      </c>
      <c r="H123">
        <v>0</v>
      </c>
      <c r="I123">
        <v>0</v>
      </c>
      <c r="M123">
        <v>1.7000000000000002</v>
      </c>
    </row>
    <row r="124" spans="1:13" x14ac:dyDescent="0.25">
      <c r="A124">
        <v>9</v>
      </c>
      <c r="B124" t="s">
        <v>390</v>
      </c>
      <c r="C124" s="132">
        <v>1.6</v>
      </c>
      <c r="D124" s="132">
        <v>0</v>
      </c>
      <c r="E124" s="132">
        <v>0</v>
      </c>
      <c r="F124" s="132">
        <v>0</v>
      </c>
      <c r="G124" s="132">
        <v>0</v>
      </c>
      <c r="H124">
        <v>0</v>
      </c>
      <c r="I124">
        <v>0</v>
      </c>
      <c r="M124">
        <v>0</v>
      </c>
    </row>
    <row r="125" spans="1:13" x14ac:dyDescent="0.25">
      <c r="A125">
        <v>10</v>
      </c>
      <c r="B125" t="s">
        <v>420</v>
      </c>
      <c r="C125" s="132">
        <v>1.79</v>
      </c>
      <c r="D125" s="132">
        <v>0</v>
      </c>
      <c r="E125" s="132">
        <v>0</v>
      </c>
      <c r="F125" s="132">
        <v>0</v>
      </c>
      <c r="G125" s="132">
        <v>0</v>
      </c>
      <c r="M125">
        <v>0</v>
      </c>
    </row>
    <row r="126" spans="1:13" x14ac:dyDescent="0.25">
      <c r="A126">
        <v>11</v>
      </c>
      <c r="B126" t="s">
        <v>417</v>
      </c>
      <c r="C126" s="132">
        <v>0</v>
      </c>
      <c r="D126" s="132">
        <v>0</v>
      </c>
      <c r="E126" s="132">
        <v>0</v>
      </c>
      <c r="F126" s="132">
        <v>0</v>
      </c>
      <c r="G126" s="132">
        <v>0</v>
      </c>
      <c r="M126">
        <v>0</v>
      </c>
    </row>
    <row r="127" spans="1:13" x14ac:dyDescent="0.25">
      <c r="A127">
        <v>12</v>
      </c>
      <c r="B127" t="s">
        <v>391</v>
      </c>
      <c r="C127" s="132">
        <v>2.9333333333333331</v>
      </c>
      <c r="D127" s="132">
        <v>0</v>
      </c>
      <c r="E127" s="132">
        <v>0</v>
      </c>
      <c r="F127" s="132">
        <v>0</v>
      </c>
      <c r="G127" s="132">
        <v>0</v>
      </c>
      <c r="H127">
        <v>0</v>
      </c>
      <c r="I127">
        <v>0</v>
      </c>
      <c r="M127">
        <v>0</v>
      </c>
    </row>
    <row r="128" spans="1:13" x14ac:dyDescent="0.25">
      <c r="A128">
        <v>13</v>
      </c>
      <c r="B128" t="s">
        <v>389</v>
      </c>
      <c r="C128" s="132">
        <v>5.32</v>
      </c>
      <c r="D128" s="132">
        <v>7.0666666666666664</v>
      </c>
      <c r="E128" s="132">
        <v>7.9980000000000002</v>
      </c>
      <c r="F128" s="132">
        <v>4.8499999999999996</v>
      </c>
      <c r="G128" s="132">
        <v>2.2000000000000002</v>
      </c>
      <c r="H128">
        <v>0</v>
      </c>
      <c r="I128">
        <v>0</v>
      </c>
      <c r="M128">
        <v>2.1</v>
      </c>
    </row>
    <row r="129" spans="1:13" x14ac:dyDescent="0.25">
      <c r="A129">
        <v>14</v>
      </c>
      <c r="B129" t="s">
        <v>404</v>
      </c>
      <c r="C129" s="132">
        <v>0</v>
      </c>
      <c r="D129" s="132">
        <v>0</v>
      </c>
      <c r="E129" s="132">
        <v>0</v>
      </c>
      <c r="F129" s="132">
        <v>0</v>
      </c>
      <c r="G129" s="132">
        <v>0</v>
      </c>
      <c r="H129">
        <v>0</v>
      </c>
      <c r="I129">
        <v>0</v>
      </c>
      <c r="M129">
        <v>0</v>
      </c>
    </row>
    <row r="130" spans="1:13" x14ac:dyDescent="0.25">
      <c r="A130">
        <v>15</v>
      </c>
      <c r="B130" t="s">
        <v>394</v>
      </c>
      <c r="C130" s="132">
        <v>4.7963157894736845</v>
      </c>
      <c r="D130" s="132">
        <v>5.7970588235294116</v>
      </c>
      <c r="E130" s="132">
        <v>6.9385714285714286</v>
      </c>
      <c r="F130" s="132">
        <v>0</v>
      </c>
      <c r="G130" s="132">
        <v>0</v>
      </c>
      <c r="H130">
        <v>0</v>
      </c>
      <c r="I130">
        <v>0</v>
      </c>
      <c r="M130">
        <v>2.4000000000000004</v>
      </c>
    </row>
    <row r="131" spans="1:13" x14ac:dyDescent="0.25"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M131">
        <v>0</v>
      </c>
    </row>
    <row r="134" spans="1:13" x14ac:dyDescent="0.25">
      <c r="D134" t="s">
        <v>20</v>
      </c>
      <c r="E134" t="s">
        <v>182</v>
      </c>
      <c r="F134" t="s">
        <v>30</v>
      </c>
      <c r="G134" t="s">
        <v>41</v>
      </c>
    </row>
    <row r="135" spans="1:13" x14ac:dyDescent="0.25">
      <c r="C135">
        <v>1</v>
      </c>
      <c r="D135" t="s">
        <v>466</v>
      </c>
      <c r="E135" s="130">
        <v>6.6710526315789478</v>
      </c>
      <c r="F135" s="130">
        <v>0</v>
      </c>
      <c r="G135" s="130">
        <v>0.9</v>
      </c>
    </row>
    <row r="136" spans="1:13" x14ac:dyDescent="0.25">
      <c r="C136">
        <v>2</v>
      </c>
      <c r="D136" t="s">
        <v>478</v>
      </c>
      <c r="E136" s="130">
        <v>0</v>
      </c>
      <c r="F136" s="130">
        <v>0</v>
      </c>
      <c r="G136" s="130">
        <v>0</v>
      </c>
    </row>
    <row r="137" spans="1:13" x14ac:dyDescent="0.25">
      <c r="C137">
        <v>3</v>
      </c>
      <c r="D137" t="s">
        <v>449</v>
      </c>
      <c r="E137" s="130">
        <v>6.5384210526315787</v>
      </c>
      <c r="F137" s="130">
        <v>0</v>
      </c>
      <c r="G137" s="130">
        <v>0.8</v>
      </c>
    </row>
    <row r="138" spans="1:13" x14ac:dyDescent="0.25">
      <c r="C138">
        <v>4</v>
      </c>
      <c r="D138" t="s">
        <v>479</v>
      </c>
      <c r="E138" s="130">
        <v>6.3947368421052628</v>
      </c>
      <c r="F138" s="130">
        <v>0</v>
      </c>
      <c r="G138" s="130">
        <v>0.70000000000000007</v>
      </c>
    </row>
    <row r="139" spans="1:13" x14ac:dyDescent="0.25">
      <c r="C139">
        <v>5</v>
      </c>
      <c r="D139" t="s">
        <v>480</v>
      </c>
      <c r="E139" s="130">
        <v>5.5000000000000009</v>
      </c>
      <c r="F139" s="130">
        <v>0</v>
      </c>
      <c r="G139" s="130">
        <v>0.70000000000000007</v>
      </c>
    </row>
    <row r="140" spans="1:13" x14ac:dyDescent="0.25">
      <c r="C140">
        <v>6</v>
      </c>
      <c r="D140" t="s">
        <v>483</v>
      </c>
      <c r="E140" s="130">
        <v>6.4815789473684209</v>
      </c>
      <c r="F140" s="130">
        <v>0</v>
      </c>
      <c r="G140" s="130">
        <v>0.60000000000000009</v>
      </c>
    </row>
    <row r="141" spans="1:13" x14ac:dyDescent="0.25">
      <c r="C141">
        <v>7</v>
      </c>
      <c r="D141" t="s">
        <v>481</v>
      </c>
      <c r="E141" s="130">
        <v>6.9884210526315789</v>
      </c>
      <c r="F141" s="130">
        <v>0</v>
      </c>
      <c r="G141" s="130">
        <v>1</v>
      </c>
    </row>
    <row r="142" spans="1:13" x14ac:dyDescent="0.25">
      <c r="C142">
        <v>8</v>
      </c>
      <c r="D142" t="s">
        <v>482</v>
      </c>
      <c r="E142" s="130">
        <v>1.7600000000000002</v>
      </c>
      <c r="F142" s="130">
        <v>0</v>
      </c>
      <c r="G142" s="130">
        <v>0.4</v>
      </c>
    </row>
    <row r="143" spans="1:13" x14ac:dyDescent="0.25">
      <c r="C143">
        <v>9</v>
      </c>
      <c r="D143" t="s">
        <v>484</v>
      </c>
      <c r="E143" s="130">
        <v>9</v>
      </c>
      <c r="F143" s="130">
        <v>7.2011250000000002</v>
      </c>
      <c r="G143" s="130">
        <v>1.1000000000000001</v>
      </c>
    </row>
    <row r="144" spans="1:13" x14ac:dyDescent="0.25">
      <c r="C144">
        <v>10</v>
      </c>
      <c r="D144" t="s">
        <v>485</v>
      </c>
      <c r="E144" s="130">
        <v>6.9592105263157897</v>
      </c>
      <c r="F144" s="130">
        <v>1.98</v>
      </c>
      <c r="G144" s="130">
        <v>1</v>
      </c>
    </row>
    <row r="145" spans="3:7" x14ac:dyDescent="0.25">
      <c r="C145">
        <v>11</v>
      </c>
      <c r="D145" t="s">
        <v>486</v>
      </c>
      <c r="E145" s="130">
        <v>7.7793000000000001</v>
      </c>
      <c r="F145" s="130">
        <v>0</v>
      </c>
      <c r="G145" s="130">
        <v>0.4</v>
      </c>
    </row>
    <row r="146" spans="3:7" x14ac:dyDescent="0.25">
      <c r="C146">
        <v>12</v>
      </c>
      <c r="D146" t="s">
        <v>487</v>
      </c>
      <c r="E146" s="130">
        <v>0</v>
      </c>
      <c r="F146" s="130">
        <v>0</v>
      </c>
      <c r="G146" s="130">
        <v>0</v>
      </c>
    </row>
    <row r="147" spans="3:7" x14ac:dyDescent="0.25">
      <c r="C147">
        <v>13</v>
      </c>
      <c r="D147" t="s">
        <v>488</v>
      </c>
      <c r="E147" s="130">
        <v>8.0988000000000007</v>
      </c>
      <c r="F147" s="130">
        <v>0</v>
      </c>
      <c r="G147" s="130">
        <v>0.8</v>
      </c>
    </row>
    <row r="148" spans="3:7" x14ac:dyDescent="0.25">
      <c r="C148">
        <v>14</v>
      </c>
      <c r="D148" t="s">
        <v>473</v>
      </c>
      <c r="E148" s="130">
        <v>7.3736842105263154</v>
      </c>
      <c r="F148" s="130">
        <v>0</v>
      </c>
      <c r="G148" s="130">
        <v>0.9</v>
      </c>
    </row>
    <row r="149" spans="3:7" x14ac:dyDescent="0.25">
      <c r="C149">
        <v>15</v>
      </c>
      <c r="D149" t="s">
        <v>474</v>
      </c>
      <c r="E149" s="130">
        <v>0</v>
      </c>
      <c r="F149" s="130">
        <v>0</v>
      </c>
      <c r="G149" s="130">
        <v>0</v>
      </c>
    </row>
    <row r="150" spans="3:7" x14ac:dyDescent="0.25">
      <c r="C150">
        <v>16</v>
      </c>
      <c r="D150" t="s">
        <v>489</v>
      </c>
      <c r="E150" s="130">
        <v>7.8216000000000001</v>
      </c>
      <c r="F150" s="130">
        <v>0</v>
      </c>
      <c r="G150" s="130">
        <v>0.60000000000000009</v>
      </c>
    </row>
    <row r="151" spans="3:7" x14ac:dyDescent="0.25">
      <c r="C151">
        <v>17</v>
      </c>
      <c r="D151" t="s">
        <v>475</v>
      </c>
      <c r="E151" s="130">
        <v>0</v>
      </c>
      <c r="F151" s="130">
        <v>0</v>
      </c>
      <c r="G151" s="130">
        <v>0</v>
      </c>
    </row>
    <row r="152" spans="3:7" x14ac:dyDescent="0.25">
      <c r="C152">
        <v>18</v>
      </c>
      <c r="D152" t="s">
        <v>490</v>
      </c>
      <c r="E152" s="130">
        <v>0</v>
      </c>
      <c r="F152" s="130">
        <v>0</v>
      </c>
      <c r="G152" s="130">
        <v>0</v>
      </c>
    </row>
    <row r="153" spans="3:7" x14ac:dyDescent="0.25">
      <c r="C153">
        <v>19</v>
      </c>
      <c r="D153" t="s">
        <v>491</v>
      </c>
      <c r="E153" s="130">
        <v>0</v>
      </c>
      <c r="F153" s="130">
        <v>0</v>
      </c>
      <c r="G153" s="130">
        <v>0.2</v>
      </c>
    </row>
    <row r="154" spans="3:7" x14ac:dyDescent="0.25">
      <c r="C154">
        <v>20</v>
      </c>
      <c r="D154" t="s">
        <v>477</v>
      </c>
      <c r="E154" s="130">
        <v>0</v>
      </c>
      <c r="F154" s="130">
        <v>0</v>
      </c>
      <c r="G154" s="130">
        <v>0</v>
      </c>
    </row>
    <row r="155" spans="3:7" x14ac:dyDescent="0.25">
      <c r="C155">
        <v>21</v>
      </c>
      <c r="D155" t="s">
        <v>492</v>
      </c>
      <c r="E155" s="130">
        <v>6.7894736842105265</v>
      </c>
      <c r="F155" s="130">
        <v>0</v>
      </c>
      <c r="G155" s="130">
        <v>0.8</v>
      </c>
    </row>
    <row r="156" spans="3:7" x14ac:dyDescent="0.25">
      <c r="C156">
        <v>22</v>
      </c>
      <c r="D156" t="s">
        <v>493</v>
      </c>
      <c r="E156" s="130">
        <v>7.2726315789473688</v>
      </c>
      <c r="F156" s="130">
        <v>0</v>
      </c>
      <c r="G156" s="130">
        <v>0.9</v>
      </c>
    </row>
    <row r="157" spans="3:7" x14ac:dyDescent="0.25">
      <c r="C157">
        <v>23</v>
      </c>
      <c r="D157" t="s">
        <v>494</v>
      </c>
      <c r="E157" s="130">
        <v>2.7500000000000004</v>
      </c>
      <c r="F157" s="130">
        <v>0</v>
      </c>
      <c r="G157" s="130">
        <v>0.2</v>
      </c>
    </row>
    <row r="158" spans="3:7" x14ac:dyDescent="0.25">
      <c r="C158">
        <v>24</v>
      </c>
      <c r="D158" t="s">
        <v>476</v>
      </c>
      <c r="E158" s="130">
        <v>0</v>
      </c>
      <c r="F158" s="130">
        <v>0</v>
      </c>
      <c r="G158" s="130">
        <v>0</v>
      </c>
    </row>
    <row r="159" spans="3:7" x14ac:dyDescent="0.25">
      <c r="C159">
        <v>25</v>
      </c>
      <c r="D159" t="s">
        <v>495</v>
      </c>
      <c r="E159" s="130">
        <v>6.8889473684210527</v>
      </c>
      <c r="F159" s="130">
        <v>0</v>
      </c>
      <c r="G159" s="130">
        <v>1</v>
      </c>
    </row>
    <row r="160" spans="3:7" x14ac:dyDescent="0.25">
      <c r="C160">
        <v>26</v>
      </c>
      <c r="D160" t="s">
        <v>496</v>
      </c>
      <c r="E160" s="130">
        <v>6.3536842105263158</v>
      </c>
      <c r="F160" s="130">
        <v>0</v>
      </c>
      <c r="G160" s="130">
        <v>0.8</v>
      </c>
    </row>
    <row r="161" spans="3:7" x14ac:dyDescent="0.25">
      <c r="C161">
        <v>27</v>
      </c>
      <c r="D161" t="s">
        <v>472</v>
      </c>
      <c r="E161" s="130">
        <v>8.7515999999999998</v>
      </c>
      <c r="F161" s="130">
        <v>8.2462499999999999</v>
      </c>
      <c r="G161" s="130">
        <v>0</v>
      </c>
    </row>
    <row r="162" spans="3:7" x14ac:dyDescent="0.25">
      <c r="C162">
        <v>28</v>
      </c>
      <c r="D162" t="s">
        <v>497</v>
      </c>
      <c r="E162" s="130">
        <v>6.5810526315789479</v>
      </c>
      <c r="F162" s="130">
        <v>0</v>
      </c>
      <c r="G162" s="130">
        <v>0.8</v>
      </c>
    </row>
    <row r="163" spans="3:7" x14ac:dyDescent="0.25">
      <c r="C163">
        <v>29</v>
      </c>
      <c r="E163">
        <v>0</v>
      </c>
      <c r="F163" s="130">
        <v>0</v>
      </c>
      <c r="G163" s="130">
        <v>0</v>
      </c>
    </row>
    <row r="164" spans="3:7" x14ac:dyDescent="0.25">
      <c r="C164">
        <v>30</v>
      </c>
      <c r="E164">
        <v>0</v>
      </c>
      <c r="F164" s="130">
        <v>0</v>
      </c>
      <c r="G164" s="130">
        <v>0</v>
      </c>
    </row>
    <row r="165" spans="3:7" x14ac:dyDescent="0.25">
      <c r="D165" t="s">
        <v>124</v>
      </c>
      <c r="E165" t="s">
        <v>182</v>
      </c>
      <c r="F165" s="130" t="s">
        <v>30</v>
      </c>
      <c r="G165" s="130" t="s">
        <v>41</v>
      </c>
    </row>
    <row r="166" spans="3:7" x14ac:dyDescent="0.25">
      <c r="C166">
        <v>1</v>
      </c>
      <c r="D166" t="s">
        <v>422</v>
      </c>
      <c r="E166" s="130">
        <v>0</v>
      </c>
      <c r="F166" s="130">
        <v>0</v>
      </c>
      <c r="G166" s="130">
        <v>0.4</v>
      </c>
    </row>
    <row r="167" spans="3:7" x14ac:dyDescent="0.25">
      <c r="C167">
        <v>2</v>
      </c>
      <c r="D167" t="s">
        <v>423</v>
      </c>
      <c r="E167" s="130">
        <v>0</v>
      </c>
      <c r="F167" s="130">
        <v>0</v>
      </c>
      <c r="G167" s="130">
        <v>0</v>
      </c>
    </row>
    <row r="168" spans="3:7" x14ac:dyDescent="0.25">
      <c r="C168">
        <v>3</v>
      </c>
      <c r="D168" t="s">
        <v>424</v>
      </c>
      <c r="E168" s="130">
        <v>0</v>
      </c>
      <c r="F168" s="130">
        <v>0</v>
      </c>
      <c r="G168" s="130">
        <v>0.4</v>
      </c>
    </row>
    <row r="169" spans="3:7" x14ac:dyDescent="0.25">
      <c r="C169">
        <v>4</v>
      </c>
      <c r="D169" t="s">
        <v>425</v>
      </c>
      <c r="E169" s="130">
        <v>0</v>
      </c>
      <c r="F169" s="130">
        <v>0</v>
      </c>
      <c r="G169" s="130">
        <v>0</v>
      </c>
    </row>
    <row r="170" spans="3:7" x14ac:dyDescent="0.25">
      <c r="C170">
        <v>5</v>
      </c>
      <c r="D170" t="s">
        <v>539</v>
      </c>
      <c r="E170" s="130">
        <v>0</v>
      </c>
      <c r="F170" s="130">
        <v>0</v>
      </c>
      <c r="G170" s="130">
        <v>0</v>
      </c>
    </row>
    <row r="171" spans="3:7" x14ac:dyDescent="0.25">
      <c r="C171">
        <v>6</v>
      </c>
      <c r="D171" t="s">
        <v>426</v>
      </c>
      <c r="E171" s="130">
        <v>0</v>
      </c>
      <c r="F171" s="130">
        <v>0</v>
      </c>
      <c r="G171" s="130">
        <v>0.60000000000000009</v>
      </c>
    </row>
    <row r="172" spans="3:7" x14ac:dyDescent="0.25">
      <c r="C172">
        <v>7</v>
      </c>
      <c r="D172" t="s">
        <v>427</v>
      </c>
      <c r="E172" s="130">
        <v>6.0473684210526315</v>
      </c>
      <c r="F172" s="130">
        <v>5.94</v>
      </c>
      <c r="G172" s="130">
        <v>0.2</v>
      </c>
    </row>
    <row r="173" spans="3:7" x14ac:dyDescent="0.25">
      <c r="C173">
        <v>8</v>
      </c>
      <c r="D173" t="s">
        <v>428</v>
      </c>
      <c r="E173" s="130">
        <v>2.8</v>
      </c>
      <c r="F173" s="130">
        <v>0</v>
      </c>
      <c r="G173" s="130">
        <v>0</v>
      </c>
    </row>
    <row r="174" spans="3:7" x14ac:dyDescent="0.25">
      <c r="C174">
        <v>9</v>
      </c>
      <c r="D174" t="s">
        <v>540</v>
      </c>
      <c r="E174" s="130">
        <v>0</v>
      </c>
      <c r="F174" s="130">
        <v>0</v>
      </c>
      <c r="G174" s="130">
        <v>0</v>
      </c>
    </row>
    <row r="175" spans="3:7" x14ac:dyDescent="0.25">
      <c r="C175">
        <v>10</v>
      </c>
      <c r="D175" t="s">
        <v>429</v>
      </c>
      <c r="E175" s="130">
        <v>0</v>
      </c>
      <c r="F175" s="130">
        <v>0</v>
      </c>
      <c r="G175" s="130">
        <v>0</v>
      </c>
    </row>
    <row r="176" spans="3:7" x14ac:dyDescent="0.25">
      <c r="C176">
        <v>11</v>
      </c>
      <c r="D176" t="s">
        <v>430</v>
      </c>
      <c r="E176" s="130">
        <v>0</v>
      </c>
      <c r="F176" s="130">
        <v>0</v>
      </c>
      <c r="G176" s="130">
        <v>0.4</v>
      </c>
    </row>
    <row r="177" spans="3:7" x14ac:dyDescent="0.25">
      <c r="C177">
        <v>12</v>
      </c>
      <c r="D177" t="s">
        <v>431</v>
      </c>
      <c r="E177" s="130">
        <v>6.1228421052631576</v>
      </c>
      <c r="F177" s="130">
        <v>0</v>
      </c>
      <c r="G177" s="130">
        <v>0.8</v>
      </c>
    </row>
    <row r="178" spans="3:7" x14ac:dyDescent="0.25">
      <c r="C178">
        <v>13</v>
      </c>
      <c r="D178" t="s">
        <v>432</v>
      </c>
      <c r="E178" s="130">
        <v>0</v>
      </c>
      <c r="F178" s="130">
        <v>0</v>
      </c>
      <c r="G178" s="130">
        <v>0</v>
      </c>
    </row>
    <row r="179" spans="3:7" x14ac:dyDescent="0.25">
      <c r="C179">
        <v>14</v>
      </c>
      <c r="D179" t="s">
        <v>433</v>
      </c>
      <c r="E179" s="130">
        <v>0</v>
      </c>
      <c r="F179" s="130">
        <v>0</v>
      </c>
      <c r="G179" s="130">
        <v>0</v>
      </c>
    </row>
    <row r="180" spans="3:7" x14ac:dyDescent="0.25">
      <c r="C180">
        <v>15</v>
      </c>
      <c r="D180" t="s">
        <v>434</v>
      </c>
      <c r="E180" s="130">
        <v>0</v>
      </c>
      <c r="F180" s="130">
        <v>0</v>
      </c>
      <c r="G180" s="130">
        <v>0.4</v>
      </c>
    </row>
    <row r="181" spans="3:7" x14ac:dyDescent="0.25">
      <c r="C181">
        <v>16</v>
      </c>
      <c r="D181" t="s">
        <v>435</v>
      </c>
      <c r="E181" s="130">
        <v>0</v>
      </c>
      <c r="F181" s="130">
        <v>0</v>
      </c>
      <c r="G181" s="130">
        <v>0</v>
      </c>
    </row>
    <row r="182" spans="3:7" x14ac:dyDescent="0.25">
      <c r="C182">
        <v>17</v>
      </c>
      <c r="D182" t="s">
        <v>436</v>
      </c>
      <c r="E182" s="130">
        <v>6.0789473684210522</v>
      </c>
      <c r="F182" s="130">
        <v>0</v>
      </c>
      <c r="G182" s="130">
        <v>0.70000000000000007</v>
      </c>
    </row>
    <row r="183" spans="3:7" x14ac:dyDescent="0.25">
      <c r="C183">
        <v>18</v>
      </c>
      <c r="D183" t="s">
        <v>437</v>
      </c>
      <c r="E183" s="130">
        <v>0</v>
      </c>
      <c r="F183" s="130">
        <v>0</v>
      </c>
      <c r="G183" s="130">
        <v>0</v>
      </c>
    </row>
    <row r="184" spans="3:7" x14ac:dyDescent="0.25">
      <c r="C184">
        <v>19</v>
      </c>
      <c r="D184" t="s">
        <v>438</v>
      </c>
      <c r="E184" s="130">
        <v>0</v>
      </c>
      <c r="F184" s="130">
        <v>0</v>
      </c>
      <c r="G184" s="130">
        <v>0</v>
      </c>
    </row>
    <row r="185" spans="3:7" x14ac:dyDescent="0.25">
      <c r="C185">
        <v>20</v>
      </c>
      <c r="D185" t="s">
        <v>338</v>
      </c>
      <c r="E185" s="130">
        <v>0</v>
      </c>
      <c r="F185" s="130">
        <v>0</v>
      </c>
      <c r="G185" s="130">
        <v>0</v>
      </c>
    </row>
    <row r="186" spans="3:7" x14ac:dyDescent="0.25">
      <c r="C186">
        <v>21</v>
      </c>
      <c r="D186" t="s">
        <v>541</v>
      </c>
      <c r="E186" s="130">
        <v>0</v>
      </c>
      <c r="F186" s="130">
        <v>0</v>
      </c>
      <c r="G186" s="130">
        <v>0</v>
      </c>
    </row>
    <row r="187" spans="3:7" x14ac:dyDescent="0.25">
      <c r="C187">
        <v>22</v>
      </c>
      <c r="D187" t="s">
        <v>439</v>
      </c>
      <c r="E187" s="130">
        <v>1.6799999999999997</v>
      </c>
      <c r="F187" s="130">
        <v>0</v>
      </c>
      <c r="G187" s="130">
        <v>0.70000000000000007</v>
      </c>
    </row>
    <row r="188" spans="3:7" x14ac:dyDescent="0.25">
      <c r="C188">
        <v>23</v>
      </c>
      <c r="D188" t="s">
        <v>440</v>
      </c>
      <c r="E188" s="130">
        <v>0</v>
      </c>
      <c r="F188" s="130">
        <v>0</v>
      </c>
      <c r="G188" s="130">
        <v>0</v>
      </c>
    </row>
    <row r="189" spans="3:7" x14ac:dyDescent="0.25">
      <c r="C189">
        <v>24</v>
      </c>
      <c r="D189" t="s">
        <v>441</v>
      </c>
      <c r="E189" s="130">
        <v>0</v>
      </c>
      <c r="F189" s="130">
        <v>0</v>
      </c>
      <c r="G189" s="130">
        <v>0</v>
      </c>
    </row>
    <row r="190" spans="3:7" x14ac:dyDescent="0.25">
      <c r="C190">
        <v>25</v>
      </c>
      <c r="D190" t="s">
        <v>442</v>
      </c>
      <c r="E190" s="130">
        <v>4.4000000000000004</v>
      </c>
      <c r="F190" s="130">
        <v>0</v>
      </c>
      <c r="G190" s="130">
        <v>0</v>
      </c>
    </row>
    <row r="191" spans="3:7" x14ac:dyDescent="0.25">
      <c r="C191">
        <v>26</v>
      </c>
      <c r="D191" t="s">
        <v>443</v>
      </c>
      <c r="E191" s="130">
        <v>6.094736842105263</v>
      </c>
      <c r="F191" s="130">
        <v>0</v>
      </c>
      <c r="G191" s="130">
        <v>0.1</v>
      </c>
    </row>
    <row r="192" spans="3:7" x14ac:dyDescent="0.25">
      <c r="C192">
        <v>27</v>
      </c>
      <c r="D192" t="s">
        <v>444</v>
      </c>
      <c r="E192" s="130">
        <v>0</v>
      </c>
      <c r="F192" s="130">
        <v>0</v>
      </c>
      <c r="G192" s="130">
        <v>0.60000000000000009</v>
      </c>
    </row>
    <row r="193" spans="3:16" x14ac:dyDescent="0.25">
      <c r="C193">
        <v>28</v>
      </c>
      <c r="D193" t="s">
        <v>445</v>
      </c>
      <c r="E193" s="130">
        <v>0</v>
      </c>
      <c r="F193" s="130">
        <v>0</v>
      </c>
      <c r="G193" s="130">
        <v>0</v>
      </c>
    </row>
    <row r="194" spans="3:16" x14ac:dyDescent="0.25">
      <c r="C194">
        <v>29</v>
      </c>
      <c r="D194" t="s">
        <v>446</v>
      </c>
      <c r="E194" s="130">
        <v>0</v>
      </c>
      <c r="F194" s="130">
        <v>0</v>
      </c>
      <c r="G194" s="130">
        <v>0</v>
      </c>
    </row>
    <row r="195" spans="3:16" x14ac:dyDescent="0.25">
      <c r="C195">
        <v>30</v>
      </c>
      <c r="D195" t="s">
        <v>278</v>
      </c>
      <c r="E195" s="130">
        <v>0</v>
      </c>
      <c r="F195" s="130">
        <v>0</v>
      </c>
      <c r="G195" s="130">
        <v>0</v>
      </c>
    </row>
    <row r="196" spans="3:16" x14ac:dyDescent="0.25">
      <c r="C196">
        <v>31</v>
      </c>
      <c r="D196" t="s">
        <v>447</v>
      </c>
      <c r="E196" s="130">
        <v>0</v>
      </c>
      <c r="F196" s="130">
        <v>0</v>
      </c>
      <c r="G196" s="130">
        <v>0</v>
      </c>
    </row>
    <row r="197" spans="3:16" x14ac:dyDescent="0.25">
      <c r="C197">
        <v>32</v>
      </c>
      <c r="D197" t="s">
        <v>448</v>
      </c>
      <c r="E197" s="130">
        <v>8.0244</v>
      </c>
      <c r="F197" s="130">
        <v>0</v>
      </c>
      <c r="G197" s="130">
        <v>0.8</v>
      </c>
    </row>
    <row r="198" spans="3:16" x14ac:dyDescent="0.25">
      <c r="C198">
        <v>32</v>
      </c>
      <c r="E198">
        <v>0</v>
      </c>
      <c r="F198" s="130">
        <v>0</v>
      </c>
      <c r="G198" s="130">
        <v>0</v>
      </c>
    </row>
    <row r="199" spans="3:16" x14ac:dyDescent="0.25">
      <c r="C199">
        <v>32</v>
      </c>
      <c r="E199">
        <v>0</v>
      </c>
      <c r="F199" s="130">
        <v>0</v>
      </c>
      <c r="G199" s="130">
        <v>0</v>
      </c>
    </row>
    <row r="200" spans="3:16" x14ac:dyDescent="0.25">
      <c r="C200">
        <v>33</v>
      </c>
      <c r="E200">
        <v>0</v>
      </c>
      <c r="F200" s="130">
        <v>0</v>
      </c>
      <c r="G200" s="130">
        <v>0</v>
      </c>
    </row>
    <row r="203" spans="3:16" x14ac:dyDescent="0.25">
      <c r="D203" t="s">
        <v>20</v>
      </c>
      <c r="E203" t="s">
        <v>292</v>
      </c>
      <c r="F203" t="s">
        <v>182</v>
      </c>
      <c r="G203" t="s">
        <v>30</v>
      </c>
      <c r="H203" t="s">
        <v>31</v>
      </c>
      <c r="I203" t="s">
        <v>32</v>
      </c>
      <c r="J203" t="s">
        <v>33</v>
      </c>
      <c r="K203" t="s">
        <v>39</v>
      </c>
      <c r="L203" t="s">
        <v>293</v>
      </c>
      <c r="M203" t="s">
        <v>294</v>
      </c>
      <c r="N203" t="s">
        <v>179</v>
      </c>
      <c r="O203" t="s">
        <v>4</v>
      </c>
      <c r="P203" t="s">
        <v>41</v>
      </c>
    </row>
    <row r="204" spans="3:16" x14ac:dyDescent="0.25">
      <c r="C204">
        <v>1</v>
      </c>
      <c r="D204" t="s">
        <v>466</v>
      </c>
      <c r="E204">
        <v>0</v>
      </c>
      <c r="F204" s="130">
        <v>6.6710526315789478</v>
      </c>
      <c r="G204" s="130">
        <v>5.7480000000000002</v>
      </c>
      <c r="H204" s="130">
        <v>0</v>
      </c>
      <c r="I204" s="130">
        <v>0</v>
      </c>
      <c r="J204" s="130">
        <v>0</v>
      </c>
      <c r="K204" s="130">
        <v>0</v>
      </c>
      <c r="L204" s="130">
        <v>0</v>
      </c>
      <c r="P204">
        <v>1.3</v>
      </c>
    </row>
    <row r="205" spans="3:16" x14ac:dyDescent="0.25">
      <c r="C205">
        <v>2</v>
      </c>
      <c r="D205" t="s">
        <v>478</v>
      </c>
      <c r="E205">
        <v>0</v>
      </c>
      <c r="F205" s="130">
        <v>0.96</v>
      </c>
      <c r="G205" s="130">
        <v>0</v>
      </c>
      <c r="H205" s="130">
        <v>0</v>
      </c>
      <c r="I205" s="130">
        <v>0</v>
      </c>
      <c r="J205" s="130">
        <v>0</v>
      </c>
      <c r="K205" s="130">
        <v>0</v>
      </c>
      <c r="L205" s="130">
        <v>0</v>
      </c>
      <c r="P205">
        <v>0</v>
      </c>
    </row>
    <row r="206" spans="3:16" x14ac:dyDescent="0.25">
      <c r="C206">
        <v>3</v>
      </c>
      <c r="D206" t="s">
        <v>449</v>
      </c>
      <c r="E206">
        <v>0</v>
      </c>
      <c r="F206" s="130">
        <v>6.5384210526315787</v>
      </c>
      <c r="G206" s="130">
        <v>6.0419999999999998</v>
      </c>
      <c r="H206" s="130">
        <v>5.31</v>
      </c>
      <c r="I206" s="130">
        <v>6.4176000000000002</v>
      </c>
      <c r="J206" s="130">
        <v>0</v>
      </c>
      <c r="K206" s="130">
        <v>0</v>
      </c>
      <c r="L206" s="130">
        <v>0</v>
      </c>
      <c r="P206">
        <v>1.6</v>
      </c>
    </row>
    <row r="207" spans="3:16" x14ac:dyDescent="0.25">
      <c r="C207">
        <v>4</v>
      </c>
      <c r="D207" t="s">
        <v>479</v>
      </c>
      <c r="E207">
        <v>0</v>
      </c>
      <c r="F207" s="130">
        <v>6.3947368421052628</v>
      </c>
      <c r="G207" s="130">
        <v>0</v>
      </c>
      <c r="H207" s="130">
        <v>0</v>
      </c>
      <c r="I207" s="130">
        <v>0</v>
      </c>
      <c r="J207" s="130">
        <v>0</v>
      </c>
      <c r="K207" s="130">
        <v>0</v>
      </c>
      <c r="L207" s="130">
        <v>0</v>
      </c>
      <c r="P207">
        <v>1.1000000000000001</v>
      </c>
    </row>
    <row r="208" spans="3:16" x14ac:dyDescent="0.25">
      <c r="C208">
        <v>5</v>
      </c>
      <c r="D208" t="s">
        <v>480</v>
      </c>
      <c r="E208">
        <v>0</v>
      </c>
      <c r="F208" s="130">
        <v>6.1973684210526319</v>
      </c>
      <c r="G208" s="130">
        <v>4.68</v>
      </c>
      <c r="H208" s="130">
        <v>0</v>
      </c>
      <c r="I208" s="130">
        <v>0</v>
      </c>
      <c r="J208" s="130">
        <v>0</v>
      </c>
      <c r="K208" s="130">
        <v>0</v>
      </c>
      <c r="L208" s="130">
        <v>0</v>
      </c>
      <c r="P208">
        <v>1.3</v>
      </c>
    </row>
    <row r="209" spans="3:16" x14ac:dyDescent="0.25">
      <c r="C209">
        <v>6</v>
      </c>
      <c r="D209" t="s">
        <v>483</v>
      </c>
      <c r="E209">
        <v>0</v>
      </c>
      <c r="F209" s="130">
        <v>6.4815789473684209</v>
      </c>
      <c r="G209" s="130">
        <v>6.06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P209">
        <v>0.8</v>
      </c>
    </row>
    <row r="210" spans="3:16" x14ac:dyDescent="0.25">
      <c r="C210">
        <v>7</v>
      </c>
      <c r="D210" t="s">
        <v>481</v>
      </c>
      <c r="E210">
        <v>0</v>
      </c>
      <c r="F210" s="130">
        <v>6.9884210526315789</v>
      </c>
      <c r="G210" s="130">
        <v>6.1050000000000004</v>
      </c>
      <c r="H210" s="130">
        <v>5.17</v>
      </c>
      <c r="I210" s="130">
        <v>0</v>
      </c>
      <c r="J210" s="130">
        <v>0</v>
      </c>
      <c r="K210" s="130">
        <v>0</v>
      </c>
      <c r="L210" s="130">
        <v>0</v>
      </c>
      <c r="P210">
        <v>1.7000000000000002</v>
      </c>
    </row>
    <row r="211" spans="3:16" x14ac:dyDescent="0.25">
      <c r="C211">
        <v>8</v>
      </c>
      <c r="D211" t="s">
        <v>482</v>
      </c>
      <c r="E211">
        <v>0</v>
      </c>
      <c r="F211" s="130">
        <v>1.7600000000000002</v>
      </c>
      <c r="G211" s="130">
        <v>0</v>
      </c>
      <c r="H211" s="130">
        <v>5.17</v>
      </c>
      <c r="I211" s="130">
        <v>0</v>
      </c>
      <c r="J211" s="130">
        <v>0</v>
      </c>
      <c r="K211" s="130">
        <v>0</v>
      </c>
      <c r="L211" s="130">
        <v>0</v>
      </c>
      <c r="P211">
        <v>0.70000000000000007</v>
      </c>
    </row>
    <row r="212" spans="3:16" x14ac:dyDescent="0.25">
      <c r="C212">
        <v>9</v>
      </c>
      <c r="D212" t="s">
        <v>484</v>
      </c>
      <c r="E212">
        <v>0</v>
      </c>
      <c r="F212" s="130">
        <v>9</v>
      </c>
      <c r="G212" s="130">
        <v>7.2011250000000002</v>
      </c>
      <c r="H212" s="130">
        <v>6.7920833333333333</v>
      </c>
      <c r="I212" s="130">
        <v>6.84</v>
      </c>
      <c r="J212" s="130">
        <v>0</v>
      </c>
      <c r="K212" s="130">
        <v>0</v>
      </c>
      <c r="L212" s="130">
        <v>0</v>
      </c>
      <c r="P212">
        <v>2</v>
      </c>
    </row>
    <row r="213" spans="3:16" x14ac:dyDescent="0.25">
      <c r="C213">
        <v>10</v>
      </c>
      <c r="D213" t="s">
        <v>485</v>
      </c>
      <c r="E213">
        <v>0</v>
      </c>
      <c r="F213" s="130">
        <v>6.9592105263157897</v>
      </c>
      <c r="G213" s="130">
        <v>6.2685000000000004</v>
      </c>
      <c r="H213" s="130">
        <v>5.31</v>
      </c>
      <c r="I213" s="130">
        <v>0</v>
      </c>
      <c r="J213" s="130">
        <v>0</v>
      </c>
      <c r="K213" s="130">
        <v>0</v>
      </c>
      <c r="L213" s="130">
        <v>0</v>
      </c>
      <c r="P213">
        <v>1.7000000000000002</v>
      </c>
    </row>
    <row r="214" spans="3:16" x14ac:dyDescent="0.25">
      <c r="C214">
        <v>11</v>
      </c>
      <c r="D214" t="s">
        <v>486</v>
      </c>
      <c r="E214">
        <v>0</v>
      </c>
      <c r="F214" s="130">
        <v>7.7793000000000001</v>
      </c>
      <c r="G214" s="130">
        <v>6.1050000000000004</v>
      </c>
      <c r="H214" s="130">
        <v>5.03</v>
      </c>
      <c r="I214" s="130">
        <v>6.18</v>
      </c>
      <c r="J214" s="130">
        <v>0</v>
      </c>
      <c r="K214" s="130">
        <v>0</v>
      </c>
      <c r="L214" s="130">
        <v>0</v>
      </c>
      <c r="P214">
        <v>0.9</v>
      </c>
    </row>
    <row r="215" spans="3:16" x14ac:dyDescent="0.25">
      <c r="C215">
        <v>12</v>
      </c>
      <c r="D215" t="s">
        <v>487</v>
      </c>
      <c r="E215">
        <v>0</v>
      </c>
      <c r="F215" s="130">
        <v>0</v>
      </c>
      <c r="G215" s="130">
        <v>0</v>
      </c>
      <c r="H215" s="130">
        <v>0</v>
      </c>
      <c r="I215" s="130">
        <v>0</v>
      </c>
      <c r="J215" s="130">
        <v>0</v>
      </c>
      <c r="K215" s="130">
        <v>0</v>
      </c>
      <c r="L215" s="130">
        <v>0</v>
      </c>
      <c r="P215">
        <v>0</v>
      </c>
    </row>
    <row r="216" spans="3:16" x14ac:dyDescent="0.25">
      <c r="C216">
        <v>13</v>
      </c>
      <c r="D216" t="s">
        <v>488</v>
      </c>
      <c r="E216">
        <v>0</v>
      </c>
      <c r="F216" s="130">
        <v>8.0988000000000007</v>
      </c>
      <c r="G216" s="130">
        <v>6.84</v>
      </c>
      <c r="H216" s="130">
        <v>5.0019999999999998</v>
      </c>
      <c r="I216" s="130">
        <v>0</v>
      </c>
      <c r="J216" s="130">
        <v>0</v>
      </c>
      <c r="K216" s="130">
        <v>0</v>
      </c>
      <c r="L216" s="130">
        <v>0</v>
      </c>
      <c r="P216">
        <v>1.5</v>
      </c>
    </row>
    <row r="217" spans="3:16" x14ac:dyDescent="0.25">
      <c r="C217">
        <v>14</v>
      </c>
      <c r="D217" t="s">
        <v>473</v>
      </c>
      <c r="E217">
        <v>0</v>
      </c>
      <c r="F217" s="130">
        <v>7.3736842105263154</v>
      </c>
      <c r="G217" s="130">
        <v>6.5220000000000002</v>
      </c>
      <c r="H217" s="130">
        <v>5.17</v>
      </c>
      <c r="I217" s="130">
        <v>0</v>
      </c>
      <c r="J217" s="130">
        <v>1.6666666666666667</v>
      </c>
      <c r="K217" s="130">
        <v>0</v>
      </c>
      <c r="L217" s="130">
        <v>0</v>
      </c>
      <c r="P217">
        <v>1.6</v>
      </c>
    </row>
    <row r="218" spans="3:16" x14ac:dyDescent="0.25">
      <c r="C218">
        <v>15</v>
      </c>
      <c r="D218" t="s">
        <v>474</v>
      </c>
      <c r="E218">
        <v>0</v>
      </c>
      <c r="F218" s="130">
        <v>0</v>
      </c>
      <c r="G218" s="130">
        <v>0</v>
      </c>
      <c r="H218" s="130">
        <v>0</v>
      </c>
      <c r="I218" s="130">
        <v>0</v>
      </c>
      <c r="J218" s="130">
        <v>0</v>
      </c>
      <c r="K218" s="130">
        <v>0</v>
      </c>
      <c r="L218" s="130">
        <v>0</v>
      </c>
      <c r="P218">
        <v>0</v>
      </c>
    </row>
    <row r="219" spans="3:16" x14ac:dyDescent="0.25">
      <c r="C219">
        <v>16</v>
      </c>
      <c r="D219" t="s">
        <v>489</v>
      </c>
      <c r="E219">
        <v>0</v>
      </c>
      <c r="F219" s="130">
        <v>7.8216000000000001</v>
      </c>
      <c r="G219" s="130">
        <v>6.0780000000000003</v>
      </c>
      <c r="H219" s="130">
        <v>5.31</v>
      </c>
      <c r="I219" s="130">
        <v>0</v>
      </c>
      <c r="J219" s="130">
        <v>0</v>
      </c>
      <c r="K219" s="130">
        <v>0</v>
      </c>
      <c r="L219" s="130">
        <v>0</v>
      </c>
      <c r="P219">
        <v>0.8</v>
      </c>
    </row>
    <row r="220" spans="3:16" x14ac:dyDescent="0.25">
      <c r="C220">
        <v>17</v>
      </c>
      <c r="D220" t="s">
        <v>475</v>
      </c>
      <c r="E220">
        <v>0</v>
      </c>
      <c r="F220" s="130">
        <v>0</v>
      </c>
      <c r="G220" s="130">
        <v>0</v>
      </c>
      <c r="H220" s="130">
        <v>0</v>
      </c>
      <c r="I220" s="130">
        <v>0</v>
      </c>
      <c r="J220" s="130">
        <v>0</v>
      </c>
      <c r="K220" s="130">
        <v>0</v>
      </c>
      <c r="L220" s="130">
        <v>0</v>
      </c>
      <c r="P220">
        <v>0</v>
      </c>
    </row>
    <row r="221" spans="3:16" x14ac:dyDescent="0.25">
      <c r="C221">
        <v>18</v>
      </c>
      <c r="D221" t="s">
        <v>490</v>
      </c>
      <c r="E221">
        <v>0</v>
      </c>
      <c r="F221" s="130">
        <v>4.8</v>
      </c>
      <c r="G221" s="130">
        <v>0</v>
      </c>
      <c r="H221" s="130">
        <v>0</v>
      </c>
      <c r="I221" s="130">
        <v>0</v>
      </c>
      <c r="J221" s="130">
        <v>0</v>
      </c>
      <c r="K221" s="130">
        <v>0</v>
      </c>
      <c r="L221" s="130">
        <v>0</v>
      </c>
      <c r="P221">
        <v>0</v>
      </c>
    </row>
    <row r="222" spans="3:16" x14ac:dyDescent="0.25">
      <c r="C222">
        <v>19</v>
      </c>
      <c r="D222" t="s">
        <v>491</v>
      </c>
      <c r="E222">
        <v>0</v>
      </c>
      <c r="F222" s="130">
        <v>0</v>
      </c>
      <c r="G222" s="130">
        <v>0</v>
      </c>
      <c r="H222" s="130">
        <v>0</v>
      </c>
      <c r="I222" s="130">
        <v>0</v>
      </c>
      <c r="J222" s="130">
        <v>0</v>
      </c>
      <c r="K222" s="130">
        <v>0</v>
      </c>
      <c r="L222" s="130">
        <v>0</v>
      </c>
      <c r="P222">
        <v>0.60000000000000009</v>
      </c>
    </row>
    <row r="223" spans="3:16" x14ac:dyDescent="0.25">
      <c r="C223">
        <v>20</v>
      </c>
      <c r="D223" t="s">
        <v>477</v>
      </c>
      <c r="E223">
        <v>0</v>
      </c>
      <c r="F223" s="130">
        <v>0</v>
      </c>
      <c r="G223" s="130">
        <v>0</v>
      </c>
      <c r="H223" s="130">
        <v>0</v>
      </c>
      <c r="I223" s="130">
        <v>0</v>
      </c>
      <c r="J223" s="130">
        <v>0</v>
      </c>
      <c r="K223" s="130">
        <v>0</v>
      </c>
      <c r="L223" s="130">
        <v>0</v>
      </c>
      <c r="P223">
        <v>0</v>
      </c>
    </row>
    <row r="224" spans="3:16" x14ac:dyDescent="0.25">
      <c r="C224">
        <v>21</v>
      </c>
      <c r="D224" t="s">
        <v>492</v>
      </c>
      <c r="E224">
        <v>0</v>
      </c>
      <c r="F224" s="130">
        <v>6.7894736842105265</v>
      </c>
      <c r="G224" s="130">
        <v>6.3449999999999998</v>
      </c>
      <c r="H224" s="130">
        <v>0</v>
      </c>
      <c r="I224" s="130">
        <v>0</v>
      </c>
      <c r="J224" s="130">
        <v>0</v>
      </c>
      <c r="K224" s="130">
        <v>0</v>
      </c>
      <c r="L224" s="130">
        <v>0</v>
      </c>
      <c r="P224">
        <v>1.6</v>
      </c>
    </row>
    <row r="225" spans="3:16" x14ac:dyDescent="0.25">
      <c r="C225">
        <v>22</v>
      </c>
      <c r="D225" t="s">
        <v>493</v>
      </c>
      <c r="E225">
        <v>0</v>
      </c>
      <c r="F225" s="130">
        <v>7.2726315789473688</v>
      </c>
      <c r="G225" s="130">
        <v>6.0990000000000002</v>
      </c>
      <c r="H225" s="130">
        <v>5.367</v>
      </c>
      <c r="I225" s="130">
        <v>2.7720000000000002</v>
      </c>
      <c r="J225" s="130">
        <v>0</v>
      </c>
      <c r="K225" s="130">
        <v>0</v>
      </c>
      <c r="L225" s="130">
        <v>0</v>
      </c>
      <c r="P225">
        <v>1.6</v>
      </c>
    </row>
    <row r="226" spans="3:16" x14ac:dyDescent="0.25">
      <c r="C226">
        <v>23</v>
      </c>
      <c r="D226" t="s">
        <v>494</v>
      </c>
      <c r="E226">
        <v>0</v>
      </c>
      <c r="F226" s="130">
        <v>6.1223684210526317</v>
      </c>
      <c r="G226" s="130">
        <v>0</v>
      </c>
      <c r="H226" s="130">
        <v>0</v>
      </c>
      <c r="I226" s="130">
        <v>0</v>
      </c>
      <c r="J226" s="130">
        <v>0</v>
      </c>
      <c r="K226" s="130">
        <v>0</v>
      </c>
      <c r="L226" s="130">
        <v>0</v>
      </c>
      <c r="P226">
        <v>0</v>
      </c>
    </row>
    <row r="227" spans="3:16" x14ac:dyDescent="0.25">
      <c r="C227">
        <v>24</v>
      </c>
      <c r="D227" t="s">
        <v>476</v>
      </c>
      <c r="E227">
        <v>0</v>
      </c>
      <c r="F227" s="130">
        <v>0</v>
      </c>
      <c r="G227" s="130">
        <v>0</v>
      </c>
      <c r="H227" s="130">
        <v>0</v>
      </c>
      <c r="I227" s="130">
        <v>0</v>
      </c>
      <c r="J227" s="130">
        <v>0</v>
      </c>
      <c r="K227" s="130">
        <v>0</v>
      </c>
      <c r="L227" s="130">
        <v>0</v>
      </c>
      <c r="P227">
        <v>0</v>
      </c>
    </row>
    <row r="228" spans="3:16" x14ac:dyDescent="0.25">
      <c r="C228">
        <v>25</v>
      </c>
      <c r="D228" t="s">
        <v>495</v>
      </c>
      <c r="E228">
        <v>0</v>
      </c>
      <c r="F228" s="130">
        <v>6.8889473684210527</v>
      </c>
      <c r="G228" s="130">
        <v>5.532</v>
      </c>
      <c r="H228" s="130">
        <v>5.0439999999999996</v>
      </c>
      <c r="I228" s="130">
        <v>0</v>
      </c>
      <c r="J228" s="130">
        <v>0</v>
      </c>
      <c r="K228" s="130">
        <v>0</v>
      </c>
      <c r="L228" s="130">
        <v>0</v>
      </c>
      <c r="P228">
        <v>1.7000000000000002</v>
      </c>
    </row>
    <row r="229" spans="3:16" x14ac:dyDescent="0.25">
      <c r="C229">
        <v>26</v>
      </c>
      <c r="D229" t="s">
        <v>496</v>
      </c>
      <c r="E229">
        <v>0</v>
      </c>
      <c r="F229" s="130">
        <v>6.3536842105263158</v>
      </c>
      <c r="G229" s="130">
        <v>6.24</v>
      </c>
      <c r="H229" s="130">
        <v>0</v>
      </c>
      <c r="I229" s="130">
        <v>0</v>
      </c>
      <c r="J229" s="130">
        <v>0</v>
      </c>
      <c r="K229" s="130">
        <v>0</v>
      </c>
      <c r="L229" s="130">
        <v>0</v>
      </c>
      <c r="P229">
        <v>1.4000000000000001</v>
      </c>
    </row>
    <row r="230" spans="3:16" x14ac:dyDescent="0.25">
      <c r="C230">
        <v>27</v>
      </c>
      <c r="D230" t="s">
        <v>472</v>
      </c>
      <c r="E230">
        <v>0</v>
      </c>
      <c r="F230" s="130">
        <v>8.7515999999999998</v>
      </c>
      <c r="G230" s="130">
        <v>8.2462499999999999</v>
      </c>
      <c r="H230" s="130">
        <v>5.6684999999999999</v>
      </c>
      <c r="I230" s="130">
        <v>5.3899999999999988</v>
      </c>
      <c r="J230" s="130">
        <v>5.2889705882352942</v>
      </c>
      <c r="K230" s="130">
        <v>4.95</v>
      </c>
      <c r="L230" s="130">
        <v>0</v>
      </c>
      <c r="P230">
        <v>0</v>
      </c>
    </row>
    <row r="231" spans="3:16" x14ac:dyDescent="0.25">
      <c r="C231">
        <v>28</v>
      </c>
      <c r="D231" t="s">
        <v>497</v>
      </c>
      <c r="E231">
        <v>0</v>
      </c>
      <c r="F231" s="130">
        <v>6.5810526315789479</v>
      </c>
      <c r="G231" s="130">
        <v>6.0449999999999999</v>
      </c>
      <c r="H231" s="130">
        <v>0</v>
      </c>
      <c r="I231" s="130">
        <v>0</v>
      </c>
      <c r="J231" s="130">
        <v>0</v>
      </c>
      <c r="K231" s="130">
        <v>0</v>
      </c>
      <c r="L231" s="130">
        <v>0</v>
      </c>
      <c r="P231">
        <v>1.2000000000000002</v>
      </c>
    </row>
    <row r="232" spans="3:16" x14ac:dyDescent="0.25">
      <c r="C232">
        <v>29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P232">
        <v>0</v>
      </c>
    </row>
    <row r="233" spans="3:16" x14ac:dyDescent="0.25">
      <c r="C233">
        <v>30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P233">
        <v>0</v>
      </c>
    </row>
    <row r="234" spans="3:16" x14ac:dyDescent="0.25">
      <c r="D234" t="s">
        <v>124</v>
      </c>
      <c r="E234" t="s">
        <v>292</v>
      </c>
      <c r="F234" t="s">
        <v>182</v>
      </c>
      <c r="G234" t="s">
        <v>30</v>
      </c>
      <c r="H234" t="s">
        <v>31</v>
      </c>
      <c r="I234" t="s">
        <v>32</v>
      </c>
      <c r="J234" t="s">
        <v>33</v>
      </c>
      <c r="K234" t="s">
        <v>39</v>
      </c>
      <c r="L234" t="s">
        <v>293</v>
      </c>
      <c r="M234" t="s">
        <v>294</v>
      </c>
      <c r="N234" t="s">
        <v>179</v>
      </c>
      <c r="O234" t="s">
        <v>4</v>
      </c>
      <c r="P234" t="s">
        <v>41</v>
      </c>
    </row>
    <row r="235" spans="3:16" x14ac:dyDescent="0.25">
      <c r="C235">
        <v>1</v>
      </c>
      <c r="D235" t="s">
        <v>422</v>
      </c>
      <c r="E235">
        <v>0</v>
      </c>
      <c r="F235" s="130">
        <v>2.4</v>
      </c>
      <c r="G235" s="130">
        <v>0</v>
      </c>
      <c r="H235" s="130">
        <v>0</v>
      </c>
      <c r="I235" s="130">
        <v>0</v>
      </c>
      <c r="J235" s="130">
        <v>0</v>
      </c>
      <c r="K235" s="130">
        <v>0</v>
      </c>
      <c r="L235" s="130">
        <v>0</v>
      </c>
      <c r="P235">
        <v>0.60000000000000009</v>
      </c>
    </row>
    <row r="236" spans="3:16" x14ac:dyDescent="0.25">
      <c r="C236">
        <v>2</v>
      </c>
      <c r="D236" t="s">
        <v>423</v>
      </c>
      <c r="E236">
        <v>0</v>
      </c>
      <c r="F236" s="130">
        <v>0</v>
      </c>
      <c r="G236" s="130">
        <v>0</v>
      </c>
      <c r="H236" s="130">
        <v>0</v>
      </c>
      <c r="I236" s="130">
        <v>0</v>
      </c>
      <c r="J236" s="130">
        <v>0</v>
      </c>
      <c r="K236" s="130">
        <v>0</v>
      </c>
      <c r="L236" s="130">
        <v>0</v>
      </c>
      <c r="P236">
        <v>0</v>
      </c>
    </row>
    <row r="237" spans="3:16" x14ac:dyDescent="0.25">
      <c r="C237">
        <v>3</v>
      </c>
      <c r="D237" t="s">
        <v>424</v>
      </c>
      <c r="E237">
        <v>0</v>
      </c>
      <c r="F237" s="130">
        <v>0</v>
      </c>
      <c r="G237" s="130">
        <v>0</v>
      </c>
      <c r="H237" s="130">
        <v>0</v>
      </c>
      <c r="I237" s="130">
        <v>0</v>
      </c>
      <c r="J237" s="130">
        <v>0</v>
      </c>
      <c r="K237" s="130">
        <v>0</v>
      </c>
      <c r="L237" s="130">
        <v>0</v>
      </c>
      <c r="P237">
        <v>0</v>
      </c>
    </row>
    <row r="238" spans="3:16" x14ac:dyDescent="0.25">
      <c r="C238">
        <v>4</v>
      </c>
      <c r="D238" t="s">
        <v>425</v>
      </c>
      <c r="E238">
        <v>0</v>
      </c>
      <c r="F238" s="130">
        <v>0</v>
      </c>
      <c r="G238" s="130">
        <v>0</v>
      </c>
      <c r="H238" s="130">
        <v>0</v>
      </c>
      <c r="I238" s="130">
        <v>0</v>
      </c>
      <c r="J238" s="130">
        <v>0</v>
      </c>
      <c r="K238" s="130">
        <v>0</v>
      </c>
      <c r="L238" s="130">
        <v>0</v>
      </c>
      <c r="P238">
        <v>0</v>
      </c>
    </row>
    <row r="239" spans="3:16" x14ac:dyDescent="0.25">
      <c r="C239">
        <v>5</v>
      </c>
      <c r="D239" t="s">
        <v>549</v>
      </c>
      <c r="F239" s="130">
        <v>0</v>
      </c>
      <c r="G239" s="130">
        <v>0</v>
      </c>
      <c r="H239" s="130">
        <v>0</v>
      </c>
      <c r="I239" s="130">
        <v>0</v>
      </c>
      <c r="J239" s="130">
        <v>0</v>
      </c>
      <c r="K239" s="130">
        <v>0</v>
      </c>
      <c r="L239" s="130">
        <v>0</v>
      </c>
      <c r="P239">
        <v>0</v>
      </c>
    </row>
    <row r="240" spans="3:16" x14ac:dyDescent="0.25">
      <c r="C240">
        <v>6</v>
      </c>
      <c r="D240" t="s">
        <v>550</v>
      </c>
      <c r="F240" s="130">
        <v>0</v>
      </c>
      <c r="G240" s="130">
        <v>0</v>
      </c>
      <c r="H240" s="130">
        <v>0</v>
      </c>
      <c r="I240" s="130">
        <v>0</v>
      </c>
      <c r="J240" s="130">
        <v>0</v>
      </c>
      <c r="K240" s="130">
        <v>0</v>
      </c>
      <c r="L240" s="130">
        <v>0</v>
      </c>
      <c r="P240">
        <v>0</v>
      </c>
    </row>
    <row r="241" spans="3:16" x14ac:dyDescent="0.25">
      <c r="C241">
        <v>7</v>
      </c>
      <c r="D241" t="s">
        <v>426</v>
      </c>
      <c r="E241">
        <v>0</v>
      </c>
      <c r="F241" s="130">
        <v>2.4</v>
      </c>
      <c r="G241" s="130">
        <v>0</v>
      </c>
      <c r="H241" s="130">
        <v>0</v>
      </c>
      <c r="I241" s="130">
        <v>0</v>
      </c>
      <c r="J241" s="130">
        <v>0</v>
      </c>
      <c r="K241" s="130">
        <v>0</v>
      </c>
      <c r="L241" s="130">
        <v>0</v>
      </c>
      <c r="P241">
        <v>1.1000000000000001</v>
      </c>
    </row>
    <row r="242" spans="3:16" x14ac:dyDescent="0.25">
      <c r="C242">
        <v>8</v>
      </c>
      <c r="D242" t="s">
        <v>427</v>
      </c>
      <c r="E242">
        <v>0</v>
      </c>
      <c r="F242" s="130">
        <v>6.0473684210526315</v>
      </c>
      <c r="G242" s="130">
        <v>6.3525</v>
      </c>
      <c r="H242" s="130">
        <v>0</v>
      </c>
      <c r="I242" s="130">
        <v>0</v>
      </c>
      <c r="J242" s="130">
        <v>0</v>
      </c>
      <c r="K242" s="130">
        <v>0</v>
      </c>
      <c r="L242" s="130">
        <v>0</v>
      </c>
      <c r="P242">
        <v>0</v>
      </c>
    </row>
    <row r="243" spans="3:16" x14ac:dyDescent="0.25">
      <c r="C243">
        <v>9</v>
      </c>
      <c r="D243" t="s">
        <v>428</v>
      </c>
      <c r="E243">
        <v>0</v>
      </c>
      <c r="F243" s="130">
        <v>2.8</v>
      </c>
      <c r="G243" s="130">
        <v>0</v>
      </c>
      <c r="H243" s="130">
        <v>0</v>
      </c>
      <c r="I243" s="130">
        <v>0</v>
      </c>
      <c r="J243" s="130">
        <v>0</v>
      </c>
      <c r="K243" s="130">
        <v>0</v>
      </c>
      <c r="L243" s="130">
        <v>0</v>
      </c>
      <c r="P243">
        <v>0.1</v>
      </c>
    </row>
    <row r="244" spans="3:16" x14ac:dyDescent="0.25">
      <c r="C244">
        <v>10</v>
      </c>
      <c r="D244" t="s">
        <v>551</v>
      </c>
      <c r="E244">
        <v>0</v>
      </c>
      <c r="F244" s="130">
        <v>0</v>
      </c>
      <c r="G244" s="130">
        <v>0</v>
      </c>
      <c r="H244" s="130">
        <v>0</v>
      </c>
      <c r="I244" s="130">
        <v>0</v>
      </c>
      <c r="J244" s="130">
        <v>0</v>
      </c>
      <c r="K244" s="130">
        <v>0</v>
      </c>
      <c r="L244" s="130">
        <v>0</v>
      </c>
      <c r="P244">
        <v>0</v>
      </c>
    </row>
    <row r="245" spans="3:16" x14ac:dyDescent="0.25">
      <c r="C245">
        <v>11</v>
      </c>
      <c r="D245" t="s">
        <v>429</v>
      </c>
      <c r="E245">
        <v>0</v>
      </c>
      <c r="F245" s="130">
        <v>0</v>
      </c>
      <c r="G245" s="130">
        <v>0</v>
      </c>
      <c r="H245" s="130">
        <v>0</v>
      </c>
      <c r="I245" s="130">
        <v>0</v>
      </c>
      <c r="J245" s="130">
        <v>0</v>
      </c>
      <c r="K245" s="130">
        <v>0</v>
      </c>
      <c r="L245" s="130">
        <v>0</v>
      </c>
      <c r="P245">
        <v>0</v>
      </c>
    </row>
    <row r="246" spans="3:16" x14ac:dyDescent="0.25">
      <c r="C246">
        <v>12</v>
      </c>
      <c r="D246" t="s">
        <v>430</v>
      </c>
      <c r="E246">
        <v>0</v>
      </c>
      <c r="F246" s="130">
        <v>0</v>
      </c>
      <c r="G246" s="130">
        <v>0</v>
      </c>
      <c r="H246" s="130">
        <v>0</v>
      </c>
      <c r="I246" s="130">
        <v>0</v>
      </c>
      <c r="J246" s="130">
        <v>0</v>
      </c>
      <c r="K246" s="130">
        <v>0</v>
      </c>
      <c r="L246" s="130">
        <v>0</v>
      </c>
      <c r="P246">
        <v>0</v>
      </c>
    </row>
    <row r="247" spans="3:16" x14ac:dyDescent="0.25">
      <c r="C247">
        <v>13</v>
      </c>
      <c r="D247" t="s">
        <v>431</v>
      </c>
      <c r="E247">
        <v>0</v>
      </c>
      <c r="F247" s="130">
        <v>6.1228421052631576</v>
      </c>
      <c r="G247" s="130">
        <v>1.08</v>
      </c>
      <c r="H247" s="130">
        <v>5.15</v>
      </c>
      <c r="I247" s="130">
        <v>0</v>
      </c>
      <c r="J247" s="130">
        <v>0</v>
      </c>
      <c r="K247" s="130">
        <v>0</v>
      </c>
      <c r="L247" s="130">
        <v>0</v>
      </c>
      <c r="P247">
        <v>1.5</v>
      </c>
    </row>
    <row r="248" spans="3:16" x14ac:dyDescent="0.25">
      <c r="C248">
        <v>14</v>
      </c>
      <c r="D248" t="s">
        <v>432</v>
      </c>
      <c r="E248">
        <v>0</v>
      </c>
      <c r="F248" s="130">
        <v>0</v>
      </c>
      <c r="G248" s="130">
        <v>0</v>
      </c>
      <c r="H248" s="130">
        <v>0</v>
      </c>
      <c r="I248" s="130">
        <v>0</v>
      </c>
      <c r="J248" s="130">
        <v>0</v>
      </c>
      <c r="K248" s="130">
        <v>0</v>
      </c>
      <c r="L248" s="130">
        <v>0</v>
      </c>
      <c r="P248">
        <v>0</v>
      </c>
    </row>
    <row r="249" spans="3:16" x14ac:dyDescent="0.25">
      <c r="C249">
        <v>15</v>
      </c>
      <c r="D249" t="s">
        <v>433</v>
      </c>
      <c r="E249">
        <v>0</v>
      </c>
      <c r="F249" s="130">
        <v>0</v>
      </c>
      <c r="G249" s="130">
        <v>0</v>
      </c>
      <c r="H249" s="130">
        <v>0</v>
      </c>
      <c r="I249" s="130">
        <v>0</v>
      </c>
      <c r="J249" s="130">
        <v>0</v>
      </c>
      <c r="K249" s="130">
        <v>0</v>
      </c>
      <c r="L249" s="130">
        <v>0</v>
      </c>
      <c r="P249">
        <v>0</v>
      </c>
    </row>
    <row r="250" spans="3:16" x14ac:dyDescent="0.25">
      <c r="C250">
        <v>16</v>
      </c>
      <c r="D250" t="s">
        <v>434</v>
      </c>
      <c r="E250">
        <v>0</v>
      </c>
      <c r="F250" s="130">
        <v>0</v>
      </c>
      <c r="G250" s="130">
        <v>0</v>
      </c>
      <c r="H250" s="130">
        <v>0</v>
      </c>
      <c r="I250" s="130">
        <v>0</v>
      </c>
      <c r="J250" s="130">
        <v>0</v>
      </c>
      <c r="K250" s="130">
        <v>0</v>
      </c>
      <c r="L250" s="130">
        <v>0</v>
      </c>
      <c r="P250">
        <v>0</v>
      </c>
    </row>
    <row r="251" spans="3:16" x14ac:dyDescent="0.25">
      <c r="C251">
        <v>17</v>
      </c>
      <c r="D251" t="s">
        <v>435</v>
      </c>
      <c r="E251">
        <v>0</v>
      </c>
      <c r="F251" s="130">
        <v>0</v>
      </c>
      <c r="G251" s="130">
        <v>0</v>
      </c>
      <c r="H251" s="130">
        <v>0</v>
      </c>
      <c r="I251" s="130">
        <v>0</v>
      </c>
      <c r="J251" s="130">
        <v>0</v>
      </c>
      <c r="K251" s="130">
        <v>0</v>
      </c>
      <c r="L251" s="130">
        <v>0</v>
      </c>
      <c r="P251">
        <v>0</v>
      </c>
    </row>
    <row r="252" spans="3:16" x14ac:dyDescent="0.25">
      <c r="C252">
        <v>18</v>
      </c>
      <c r="D252" t="s">
        <v>436</v>
      </c>
      <c r="E252">
        <v>0</v>
      </c>
      <c r="F252" s="130">
        <v>6.0789473684210522</v>
      </c>
      <c r="G252" s="130">
        <v>1.08</v>
      </c>
      <c r="H252" s="130">
        <v>3.6</v>
      </c>
      <c r="I252" s="130">
        <v>0</v>
      </c>
      <c r="J252" s="130">
        <v>0</v>
      </c>
      <c r="K252" s="130">
        <v>0</v>
      </c>
      <c r="L252" s="130">
        <v>0</v>
      </c>
      <c r="P252">
        <v>1</v>
      </c>
    </row>
    <row r="253" spans="3:16" x14ac:dyDescent="0.25">
      <c r="C253">
        <v>19</v>
      </c>
      <c r="D253" t="s">
        <v>437</v>
      </c>
      <c r="E253">
        <v>0</v>
      </c>
      <c r="F253" s="130">
        <v>0</v>
      </c>
      <c r="G253" s="130">
        <v>0</v>
      </c>
      <c r="H253" s="130">
        <v>0</v>
      </c>
      <c r="I253" s="130">
        <v>0</v>
      </c>
      <c r="J253" s="130">
        <v>0</v>
      </c>
      <c r="K253" s="130">
        <v>0</v>
      </c>
      <c r="L253" s="130">
        <v>0</v>
      </c>
      <c r="P253">
        <v>0</v>
      </c>
    </row>
    <row r="254" spans="3:16" x14ac:dyDescent="0.25">
      <c r="C254">
        <v>20</v>
      </c>
      <c r="D254" t="s">
        <v>438</v>
      </c>
      <c r="E254">
        <v>0</v>
      </c>
      <c r="F254" s="130">
        <v>6.1421052631578945</v>
      </c>
      <c r="G254" s="130">
        <v>6.0510000000000002</v>
      </c>
      <c r="H254" s="130">
        <v>0</v>
      </c>
      <c r="I254" s="130">
        <v>0</v>
      </c>
      <c r="J254" s="130">
        <v>0</v>
      </c>
      <c r="K254" s="130">
        <v>0</v>
      </c>
      <c r="L254" s="130">
        <v>0</v>
      </c>
      <c r="P254">
        <v>0.1</v>
      </c>
    </row>
    <row r="255" spans="3:16" x14ac:dyDescent="0.25">
      <c r="C255">
        <v>21</v>
      </c>
      <c r="D255" t="s">
        <v>338</v>
      </c>
      <c r="F255" s="130">
        <v>0</v>
      </c>
      <c r="G255" s="130">
        <v>0</v>
      </c>
      <c r="H255" s="130">
        <v>0</v>
      </c>
      <c r="I255" s="130">
        <v>0</v>
      </c>
      <c r="J255" s="130">
        <v>0</v>
      </c>
      <c r="K255" s="130">
        <v>0</v>
      </c>
      <c r="L255" s="130">
        <v>0</v>
      </c>
      <c r="P255">
        <v>0</v>
      </c>
    </row>
    <row r="256" spans="3:16" x14ac:dyDescent="0.25">
      <c r="C256">
        <v>22</v>
      </c>
      <c r="D256" t="s">
        <v>541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P256">
        <v>0</v>
      </c>
    </row>
    <row r="257" spans="3:16" x14ac:dyDescent="0.25">
      <c r="C257">
        <v>23</v>
      </c>
      <c r="D257" t="s">
        <v>439</v>
      </c>
      <c r="E257">
        <v>0</v>
      </c>
      <c r="F257" s="130">
        <v>1.6799999999999997</v>
      </c>
      <c r="G257" s="130">
        <v>0</v>
      </c>
      <c r="H257" s="130">
        <v>0</v>
      </c>
      <c r="I257" s="130">
        <v>0</v>
      </c>
      <c r="J257" s="130">
        <v>0</v>
      </c>
      <c r="K257" s="130">
        <v>0</v>
      </c>
      <c r="L257" s="130">
        <v>0</v>
      </c>
      <c r="P257">
        <v>1.1000000000000001</v>
      </c>
    </row>
    <row r="258" spans="3:16" x14ac:dyDescent="0.25">
      <c r="C258">
        <v>24</v>
      </c>
      <c r="D258" t="s">
        <v>440</v>
      </c>
      <c r="E258">
        <v>0</v>
      </c>
      <c r="F258" s="130">
        <v>0</v>
      </c>
      <c r="G258" s="130">
        <v>0</v>
      </c>
      <c r="H258" s="130">
        <v>0</v>
      </c>
      <c r="I258" s="130">
        <v>0</v>
      </c>
      <c r="J258" s="130">
        <v>0</v>
      </c>
      <c r="K258" s="130">
        <v>0</v>
      </c>
      <c r="L258" s="130">
        <v>0</v>
      </c>
      <c r="P258">
        <v>0</v>
      </c>
    </row>
    <row r="259" spans="3:16" x14ac:dyDescent="0.25">
      <c r="C259">
        <v>25</v>
      </c>
      <c r="D259" t="s">
        <v>441</v>
      </c>
      <c r="E259">
        <v>0</v>
      </c>
      <c r="F259" s="130">
        <v>0</v>
      </c>
      <c r="G259" s="130">
        <v>0</v>
      </c>
      <c r="H259" s="130">
        <v>0</v>
      </c>
      <c r="I259" s="130">
        <v>0</v>
      </c>
      <c r="J259" s="130">
        <v>0</v>
      </c>
      <c r="K259" s="130">
        <v>0</v>
      </c>
      <c r="L259" s="130">
        <v>0</v>
      </c>
      <c r="P259">
        <v>0</v>
      </c>
    </row>
    <row r="260" spans="3:16" x14ac:dyDescent="0.25">
      <c r="C260">
        <v>26</v>
      </c>
      <c r="D260" t="s">
        <v>443</v>
      </c>
      <c r="E260">
        <v>0</v>
      </c>
      <c r="F260" s="130">
        <v>6.094736842105263</v>
      </c>
      <c r="G260" s="130">
        <v>3.24</v>
      </c>
      <c r="H260" s="130">
        <v>0</v>
      </c>
      <c r="I260" s="130">
        <v>0</v>
      </c>
      <c r="J260" s="130">
        <v>0</v>
      </c>
      <c r="K260" s="130">
        <v>0</v>
      </c>
      <c r="L260" s="130">
        <v>0</v>
      </c>
      <c r="P260">
        <v>0.5</v>
      </c>
    </row>
    <row r="261" spans="3:16" x14ac:dyDescent="0.25">
      <c r="C261">
        <v>27</v>
      </c>
      <c r="D261" t="s">
        <v>444</v>
      </c>
      <c r="E261">
        <v>0</v>
      </c>
      <c r="F261" s="130">
        <v>0</v>
      </c>
      <c r="G261" s="130">
        <v>0</v>
      </c>
      <c r="H261" s="130">
        <v>0</v>
      </c>
      <c r="I261" s="130">
        <v>0</v>
      </c>
      <c r="J261" s="130">
        <v>0</v>
      </c>
      <c r="K261" s="130">
        <v>0</v>
      </c>
      <c r="L261" s="130">
        <v>0</v>
      </c>
      <c r="P261">
        <v>0.4</v>
      </c>
    </row>
    <row r="262" spans="3:16" x14ac:dyDescent="0.25">
      <c r="C262">
        <v>28</v>
      </c>
      <c r="D262" t="s">
        <v>445</v>
      </c>
      <c r="E262">
        <v>0</v>
      </c>
      <c r="F262" s="130">
        <v>0</v>
      </c>
      <c r="G262" s="130">
        <v>0</v>
      </c>
      <c r="H262" s="130">
        <v>0</v>
      </c>
      <c r="I262" s="130">
        <v>0</v>
      </c>
      <c r="J262" s="130">
        <v>0</v>
      </c>
      <c r="K262" s="130">
        <v>0</v>
      </c>
      <c r="L262" s="130">
        <v>0</v>
      </c>
      <c r="P262">
        <v>0</v>
      </c>
    </row>
    <row r="263" spans="3:16" x14ac:dyDescent="0.25">
      <c r="C263">
        <v>29</v>
      </c>
      <c r="D263" t="s">
        <v>446</v>
      </c>
      <c r="E263">
        <v>0</v>
      </c>
      <c r="F263" s="130">
        <v>0</v>
      </c>
      <c r="G263" s="130">
        <v>0</v>
      </c>
      <c r="H263" s="130">
        <v>0</v>
      </c>
      <c r="I263" s="130">
        <v>0</v>
      </c>
      <c r="J263" s="130">
        <v>0</v>
      </c>
      <c r="K263" s="130">
        <v>0</v>
      </c>
      <c r="L263" s="130">
        <v>0</v>
      </c>
      <c r="P263">
        <v>0</v>
      </c>
    </row>
    <row r="264" spans="3:16" x14ac:dyDescent="0.25">
      <c r="C264">
        <v>30</v>
      </c>
      <c r="D264" t="s">
        <v>552</v>
      </c>
      <c r="F264" s="130">
        <v>0</v>
      </c>
      <c r="G264" s="130">
        <v>0</v>
      </c>
      <c r="H264" s="130">
        <v>0</v>
      </c>
      <c r="I264" s="130">
        <v>0</v>
      </c>
      <c r="J264" s="130">
        <v>0</v>
      </c>
      <c r="K264" s="130">
        <v>0</v>
      </c>
      <c r="L264" s="130">
        <v>0</v>
      </c>
      <c r="P264">
        <v>0</v>
      </c>
    </row>
    <row r="265" spans="3:16" x14ac:dyDescent="0.25">
      <c r="C265">
        <v>31</v>
      </c>
      <c r="D265" t="s">
        <v>447</v>
      </c>
      <c r="E265">
        <v>0</v>
      </c>
      <c r="F265" s="130">
        <v>0</v>
      </c>
      <c r="G265" s="130">
        <v>0</v>
      </c>
      <c r="H265" s="130">
        <v>0</v>
      </c>
      <c r="I265" s="130">
        <v>0</v>
      </c>
      <c r="J265" s="130">
        <v>0</v>
      </c>
      <c r="K265" s="130">
        <v>0</v>
      </c>
      <c r="L265" s="130">
        <v>0</v>
      </c>
      <c r="P265">
        <v>0</v>
      </c>
    </row>
    <row r="266" spans="3:16" x14ac:dyDescent="0.25">
      <c r="C266">
        <v>32</v>
      </c>
      <c r="D266" t="s">
        <v>448</v>
      </c>
      <c r="E266">
        <v>0</v>
      </c>
      <c r="F266" s="130">
        <v>8.0244</v>
      </c>
      <c r="G266" s="130">
        <v>6.7545000000000002</v>
      </c>
      <c r="H266" s="130">
        <v>5.31</v>
      </c>
      <c r="I266" s="130">
        <v>5.5440000000000005</v>
      </c>
      <c r="J266" s="130">
        <v>0</v>
      </c>
      <c r="K266" s="130">
        <v>0</v>
      </c>
      <c r="L266" s="130">
        <v>0</v>
      </c>
      <c r="P266">
        <v>1.4000000000000001</v>
      </c>
    </row>
    <row r="267" spans="3:16" x14ac:dyDescent="0.25">
      <c r="C267">
        <v>31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P267">
        <v>0</v>
      </c>
    </row>
    <row r="268" spans="3:16" x14ac:dyDescent="0.25">
      <c r="C268">
        <v>32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P268">
        <v>0</v>
      </c>
    </row>
    <row r="269" spans="3:16" x14ac:dyDescent="0.25">
      <c r="C269">
        <v>33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P269">
        <v>0</v>
      </c>
    </row>
  </sheetData>
  <sortState ref="A1:B52">
    <sortCondition descending="1" ref="B1:B52"/>
  </sortState>
  <phoneticPr fontId="8" type="noConversion"/>
  <conditionalFormatting sqref="C2:C26 C28:C43">
    <cfRule type="colorScale" priority="18">
      <colorScale>
        <cfvo type="num" val="0"/>
        <cfvo type="num" val="#REF!"/>
        <cfvo type="num" val="#REF!"/>
        <color rgb="FFFF0000"/>
        <color rgb="FFFFFF00"/>
        <color rgb="FF00B050"/>
      </colorScale>
    </cfRule>
  </conditionalFormatting>
  <conditionalFormatting sqref="D2:D26 D28:D43">
    <cfRule type="colorScale" priority="17">
      <colorScale>
        <cfvo type="num" val="0"/>
        <cfvo type="num" val="#REF!"/>
        <cfvo type="num" val="#REF!"/>
        <color rgb="FFFF0000"/>
        <color rgb="FFFFFF00"/>
        <color rgb="FF00B050"/>
      </colorScale>
    </cfRule>
  </conditionalFormatting>
  <conditionalFormatting sqref="E2:E26 E28:E43">
    <cfRule type="colorScale" priority="15">
      <colorScale>
        <cfvo type="num" val="0"/>
        <cfvo type="num" val="#REF!"/>
        <cfvo type="num" val="#REF!"/>
        <color rgb="FFFF0000"/>
        <color rgb="FFFFFF00"/>
        <color rgb="FF00B050"/>
      </colorScale>
    </cfRule>
    <cfRule type="colorScale" priority="16">
      <colorScale>
        <cfvo type="num" val="#REF!"/>
        <cfvo type="num" val="#REF!"/>
        <cfvo type="num" val="#REF!"/>
        <color rgb="FFFF0000"/>
        <color rgb="FFFFFF00"/>
        <color rgb="FF00B050"/>
      </colorScale>
    </cfRule>
  </conditionalFormatting>
  <conditionalFormatting sqref="F2:F26 F28:F43">
    <cfRule type="colorScale" priority="14">
      <colorScale>
        <cfvo type="num" val="0"/>
        <cfvo type="num" val="#REF!"/>
        <cfvo type="num" val="#REF!"/>
        <color rgb="FFFF0000"/>
        <color rgb="FFFFFF00"/>
        <color rgb="FF00B050"/>
      </colorScale>
    </cfRule>
  </conditionalFormatting>
  <conditionalFormatting sqref="G2:G26 G28:G43">
    <cfRule type="colorScale" priority="13">
      <colorScale>
        <cfvo type="num" val="0"/>
        <cfvo type="num" val="#REF!"/>
        <cfvo type="num" val="#REF!"/>
        <color rgb="FFFF0000"/>
        <color rgb="FFFFFF00"/>
        <color rgb="FF00B050"/>
      </colorScale>
    </cfRule>
  </conditionalFormatting>
  <conditionalFormatting sqref="H2:H26 H28:H43">
    <cfRule type="colorScale" priority="12">
      <colorScale>
        <cfvo type="num" val="0"/>
        <cfvo type="num" val="#REF!"/>
        <cfvo type="num" val="#REF!"/>
        <color rgb="FFFF0000"/>
        <color rgb="FFFFFF00"/>
        <color rgb="FF00B050"/>
      </colorScale>
    </cfRule>
  </conditionalFormatting>
  <conditionalFormatting sqref="I2:I26 I28:I43">
    <cfRule type="colorScale" priority="1">
      <colorScale>
        <cfvo type="num" val="0"/>
        <cfvo type="formula" val="MAX(#REF!,#REF!)*0.6"/>
        <cfvo type="max"/>
        <color rgb="FFFF0000"/>
        <color rgb="FFFFFF00"/>
        <color rgb="FF00B050"/>
      </colorScale>
    </cfRule>
    <cfRule type="colorScale" priority="2">
      <colorScale>
        <cfvo type="num" val="0"/>
        <cfvo type="formula" val="MAX(#REF!,#REF!)"/>
        <cfvo type="max"/>
        <color rgb="FFFF0000"/>
        <color rgb="FFFFFF00"/>
        <color rgb="FF00B050"/>
      </colorScale>
    </cfRule>
    <cfRule type="colorScale" priority="3">
      <colorScale>
        <cfvo type="num" val="0"/>
        <cfvo type="formula" val="&quot;МАКС($N$3:$N$18;$N$20:$N$35)*0,8&quot;"/>
        <cfvo type="max"/>
        <color rgb="FFFF0000"/>
        <color rgb="FFFFFF00"/>
        <color rgb="FF00B050"/>
      </colorScale>
    </cfRule>
    <cfRule type="colorScale" priority="4">
      <colorScale>
        <cfvo type="min"/>
        <cfvo type="formula" val="MAX(#REF!,#REF!)*0.5"/>
        <cfvo type="max"/>
        <color rgb="FFFF0000"/>
        <color rgb="FFFFFF00"/>
        <color rgb="FF00B050"/>
      </colorScale>
    </cfRule>
    <cfRule type="colorScale" priority="5">
      <colorScale>
        <cfvo type="min"/>
        <cfvo type="num" val="&quot;МАКС($N$3:$N$18;$N$20:$N$35)*0,8&quot;"/>
        <cfvo type="max"/>
        <color rgb="FFFF0000"/>
        <color rgb="FFFFFF00"/>
        <color rgb="FF00B050"/>
      </colorScale>
    </cfRule>
    <cfRule type="colorScale" priority="7">
      <colorScale>
        <cfvo type="num" val="0"/>
        <cfvo type="percentile" val="40"/>
        <cfvo type="max"/>
        <color rgb="FFFF0000"/>
        <color rgb="FFFFFF00"/>
        <color rgb="FF00B050"/>
      </colorScale>
    </cfRule>
    <cfRule type="colorScale" priority="8">
      <colorScale>
        <cfvo type="num" val="0"/>
        <cfvo type="percentile" val="60"/>
        <cfvo type="max"/>
        <color rgb="FFFF0000"/>
        <color rgb="FFFFFF00"/>
        <color rgb="FF00B050"/>
      </colorScale>
    </cfRule>
    <cfRule type="colorScale" priority="9">
      <colorScale>
        <cfvo type="min"/>
        <cfvo type="percentile" val="60"/>
        <cfvo type="max"/>
        <color rgb="FFFF0000"/>
        <color rgb="FFFFFF00"/>
        <color rgb="FF00B050"/>
      </colorScale>
    </cfRule>
    <cfRule type="colorScale" priority="10">
      <colorScale>
        <cfvo type="num" val="0"/>
        <cfvo type="percentile" val="50"/>
        <cfvo type="max"/>
        <color rgb="FFFF0000"/>
        <color rgb="FFFFFF00"/>
        <color rgb="FF00B050"/>
      </colorScale>
    </cfRule>
  </conditionalFormatting>
  <conditionalFormatting sqref="I28:I43">
    <cfRule type="colorScale" priority="6">
      <colorScale>
        <cfvo type="min"/>
        <cfvo type="num" val="&quot;МАКС($N$20:$N$35)*0,8&quot;"/>
        <cfvo type="max"/>
        <color rgb="FFFF0000"/>
        <color rgb="FFFFFF00"/>
        <color rgb="FF00B050"/>
      </colorScale>
    </cfRule>
  </conditionalFormatting>
  <conditionalFormatting sqref="I2:I26">
    <cfRule type="colorScale" priority="11">
      <colorScale>
        <cfvo type="min"/>
        <cfvo type="num" val="&quot;МАКС($A$3:$N$3)*0,8&quot;"/>
        <cfvo type="max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B1:J72"/>
  <sheetViews>
    <sheetView workbookViewId="0"/>
  </sheetViews>
  <sheetFormatPr defaultRowHeight="15" x14ac:dyDescent="0.25"/>
  <cols>
    <col min="1" max="1" width="14" customWidth="1"/>
  </cols>
  <sheetData>
    <row r="1" spans="2:10" x14ac:dyDescent="0.25">
      <c r="B1">
        <f ca="1">RANDBETWEEN(1, 36)</f>
        <v>8</v>
      </c>
    </row>
    <row r="2" spans="2:10" x14ac:dyDescent="0.25">
      <c r="B2">
        <f ca="1">RANDBETWEEN(1, 36)</f>
        <v>30</v>
      </c>
      <c r="G2" s="3"/>
      <c r="H2" s="65" t="s">
        <v>20</v>
      </c>
      <c r="I2" s="41" t="s">
        <v>0</v>
      </c>
      <c r="J2" t="s">
        <v>180</v>
      </c>
    </row>
    <row r="3" spans="2:10" x14ac:dyDescent="0.25">
      <c r="B3">
        <f t="shared" ref="B3:B66" ca="1" si="0">RANDBETWEEN(1, 36)</f>
        <v>34</v>
      </c>
      <c r="G3" s="3">
        <v>1</v>
      </c>
      <c r="H3" s="3" t="s">
        <v>108</v>
      </c>
      <c r="I3" s="7">
        <v>63.745143274853795</v>
      </c>
      <c r="J3">
        <v>10</v>
      </c>
    </row>
    <row r="4" spans="2:10" x14ac:dyDescent="0.25">
      <c r="B4">
        <f t="shared" ca="1" si="0"/>
        <v>19</v>
      </c>
      <c r="G4" s="3">
        <v>2</v>
      </c>
      <c r="H4" s="3" t="s">
        <v>117</v>
      </c>
      <c r="I4" s="7">
        <v>62.202365497076016</v>
      </c>
    </row>
    <row r="5" spans="2:10" x14ac:dyDescent="0.25">
      <c r="B5">
        <f t="shared" ca="1" si="0"/>
        <v>21</v>
      </c>
      <c r="G5" s="3">
        <v>3</v>
      </c>
      <c r="H5" s="3" t="s">
        <v>103</v>
      </c>
      <c r="I5" s="7">
        <v>61.011683235867437</v>
      </c>
    </row>
    <row r="6" spans="2:10" x14ac:dyDescent="0.25">
      <c r="B6">
        <f t="shared" ca="1" si="0"/>
        <v>16</v>
      </c>
      <c r="G6" s="3">
        <v>4</v>
      </c>
      <c r="H6" s="3" t="s">
        <v>119</v>
      </c>
      <c r="I6" s="7">
        <v>60.342448916408664</v>
      </c>
    </row>
    <row r="7" spans="2:10" x14ac:dyDescent="0.25">
      <c r="B7">
        <f t="shared" ca="1" si="0"/>
        <v>32</v>
      </c>
      <c r="G7" s="3">
        <v>5</v>
      </c>
      <c r="H7" s="3" t="s">
        <v>100</v>
      </c>
      <c r="I7" s="7">
        <v>60.029309941520467</v>
      </c>
    </row>
    <row r="8" spans="2:10" x14ac:dyDescent="0.25">
      <c r="B8">
        <f t="shared" ca="1" si="0"/>
        <v>33</v>
      </c>
      <c r="G8" s="3">
        <v>6</v>
      </c>
      <c r="H8" s="3" t="s">
        <v>114</v>
      </c>
      <c r="I8" s="7">
        <v>52.546756836945306</v>
      </c>
    </row>
    <row r="9" spans="2:10" x14ac:dyDescent="0.25">
      <c r="B9">
        <f t="shared" ca="1" si="0"/>
        <v>34</v>
      </c>
      <c r="G9" s="3">
        <v>7</v>
      </c>
      <c r="H9" s="3" t="s">
        <v>115</v>
      </c>
      <c r="I9" s="7">
        <v>50.770553851205555</v>
      </c>
    </row>
    <row r="10" spans="2:10" x14ac:dyDescent="0.25">
      <c r="B10">
        <f t="shared" ca="1" si="0"/>
        <v>29</v>
      </c>
      <c r="G10" s="3">
        <v>8</v>
      </c>
      <c r="H10" s="3" t="s">
        <v>101</v>
      </c>
      <c r="I10" s="7">
        <v>50.369205043859651</v>
      </c>
    </row>
    <row r="11" spans="2:10" x14ac:dyDescent="0.25">
      <c r="B11">
        <f t="shared" ca="1" si="0"/>
        <v>27</v>
      </c>
      <c r="G11" s="3">
        <v>9</v>
      </c>
      <c r="H11" s="3" t="s">
        <v>106</v>
      </c>
      <c r="I11" s="7">
        <v>46.697287441724939</v>
      </c>
    </row>
    <row r="12" spans="2:10" x14ac:dyDescent="0.25">
      <c r="B12">
        <f t="shared" ca="1" si="0"/>
        <v>17</v>
      </c>
      <c r="G12" s="3">
        <v>10</v>
      </c>
      <c r="H12" s="3" t="s">
        <v>142</v>
      </c>
      <c r="I12" s="7">
        <v>45.967069671545772</v>
      </c>
    </row>
    <row r="13" spans="2:10" x14ac:dyDescent="0.25">
      <c r="B13">
        <f t="shared" ca="1" si="0"/>
        <v>5</v>
      </c>
      <c r="G13" s="3">
        <v>11</v>
      </c>
      <c r="H13" s="3" t="s">
        <v>120</v>
      </c>
      <c r="I13" s="7">
        <v>44.300065268065268</v>
      </c>
    </row>
    <row r="14" spans="2:10" x14ac:dyDescent="0.25">
      <c r="B14">
        <f t="shared" ca="1" si="0"/>
        <v>31</v>
      </c>
      <c r="G14" s="3">
        <v>12</v>
      </c>
      <c r="H14" s="3" t="s">
        <v>118</v>
      </c>
      <c r="I14" s="7">
        <v>42.723974731838496</v>
      </c>
      <c r="J14" t="s">
        <v>180</v>
      </c>
    </row>
    <row r="15" spans="2:10" x14ac:dyDescent="0.25">
      <c r="B15">
        <f t="shared" ca="1" si="0"/>
        <v>18</v>
      </c>
      <c r="G15" s="3">
        <v>13</v>
      </c>
      <c r="H15" s="3" t="s">
        <v>99</v>
      </c>
      <c r="I15" s="7">
        <v>40.265200150543897</v>
      </c>
      <c r="J15">
        <v>10</v>
      </c>
    </row>
    <row r="16" spans="2:10" x14ac:dyDescent="0.25">
      <c r="B16">
        <f t="shared" ca="1" si="0"/>
        <v>9</v>
      </c>
      <c r="G16" s="3">
        <v>14</v>
      </c>
      <c r="H16" s="67" t="s">
        <v>122</v>
      </c>
      <c r="I16" s="7">
        <v>36.029924242424244</v>
      </c>
      <c r="J16">
        <v>10</v>
      </c>
    </row>
    <row r="17" spans="2:9" x14ac:dyDescent="0.25">
      <c r="B17">
        <f t="shared" ca="1" si="0"/>
        <v>11</v>
      </c>
      <c r="G17" s="3">
        <v>15</v>
      </c>
      <c r="H17" s="3" t="s">
        <v>112</v>
      </c>
      <c r="I17" s="7">
        <v>34.579127673796791</v>
      </c>
    </row>
    <row r="18" spans="2:9" x14ac:dyDescent="0.25">
      <c r="B18">
        <f t="shared" ca="1" si="0"/>
        <v>36</v>
      </c>
      <c r="G18" s="3">
        <v>16</v>
      </c>
      <c r="H18" s="3" t="s">
        <v>111</v>
      </c>
      <c r="I18" s="7">
        <v>30.530375874125873</v>
      </c>
    </row>
    <row r="19" spans="2:9" x14ac:dyDescent="0.25">
      <c r="B19">
        <f t="shared" ca="1" si="0"/>
        <v>33</v>
      </c>
      <c r="G19" s="3">
        <v>17</v>
      </c>
      <c r="H19" s="67" t="s">
        <v>123</v>
      </c>
      <c r="I19" s="7">
        <v>26.805733974358972</v>
      </c>
    </row>
    <row r="20" spans="2:9" x14ac:dyDescent="0.25">
      <c r="B20">
        <f t="shared" ca="1" si="0"/>
        <v>15</v>
      </c>
      <c r="G20" s="3">
        <v>18</v>
      </c>
      <c r="H20" s="3" t="s">
        <v>113</v>
      </c>
      <c r="I20" s="7">
        <v>18.810784313725492</v>
      </c>
    </row>
    <row r="21" spans="2:9" x14ac:dyDescent="0.25">
      <c r="B21">
        <f t="shared" ca="1" si="0"/>
        <v>22</v>
      </c>
      <c r="G21" s="3">
        <v>19</v>
      </c>
      <c r="H21" s="73" t="s">
        <v>104</v>
      </c>
      <c r="I21" s="7">
        <v>16.160196078431376</v>
      </c>
    </row>
    <row r="22" spans="2:9" x14ac:dyDescent="0.25">
      <c r="B22">
        <f t="shared" ca="1" si="0"/>
        <v>16</v>
      </c>
      <c r="G22" s="3">
        <v>20</v>
      </c>
      <c r="H22" s="3" t="s">
        <v>107</v>
      </c>
      <c r="I22" s="7">
        <v>14.267294117647058</v>
      </c>
    </row>
    <row r="23" spans="2:9" x14ac:dyDescent="0.25">
      <c r="B23">
        <f t="shared" ca="1" si="0"/>
        <v>31</v>
      </c>
      <c r="G23" s="3">
        <v>21</v>
      </c>
      <c r="H23" s="3" t="s">
        <v>109</v>
      </c>
      <c r="I23" s="7">
        <v>13.60514705882353</v>
      </c>
    </row>
    <row r="24" spans="2:9" x14ac:dyDescent="0.25">
      <c r="B24">
        <f t="shared" ca="1" si="0"/>
        <v>15</v>
      </c>
      <c r="G24" s="3">
        <v>22</v>
      </c>
      <c r="H24" s="3" t="s">
        <v>121</v>
      </c>
      <c r="I24" s="7">
        <v>13.370087719298246</v>
      </c>
    </row>
    <row r="25" spans="2:9" x14ac:dyDescent="0.25">
      <c r="B25">
        <f t="shared" ca="1" si="0"/>
        <v>6</v>
      </c>
      <c r="G25" s="3">
        <v>23</v>
      </c>
      <c r="H25" s="3" t="s">
        <v>102</v>
      </c>
      <c r="I25" s="7">
        <v>-3.1499999999999995</v>
      </c>
    </row>
    <row r="26" spans="2:9" x14ac:dyDescent="0.25">
      <c r="B26">
        <f t="shared" ca="1" si="0"/>
        <v>16</v>
      </c>
      <c r="G26" s="3">
        <v>24</v>
      </c>
      <c r="H26" s="3" t="s">
        <v>105</v>
      </c>
      <c r="I26" s="7">
        <v>-5.6999999999999993</v>
      </c>
    </row>
    <row r="27" spans="2:9" x14ac:dyDescent="0.25">
      <c r="B27">
        <f t="shared" ca="1" si="0"/>
        <v>25</v>
      </c>
      <c r="G27" s="3">
        <v>25</v>
      </c>
      <c r="H27" s="3" t="s">
        <v>110</v>
      </c>
      <c r="I27" s="7">
        <v>-5.7249999999999988</v>
      </c>
    </row>
    <row r="28" spans="2:9" x14ac:dyDescent="0.25">
      <c r="B28">
        <f t="shared" ca="1" si="0"/>
        <v>16</v>
      </c>
      <c r="G28" s="3">
        <v>26</v>
      </c>
      <c r="H28" s="3" t="s">
        <v>116</v>
      </c>
      <c r="I28" s="7">
        <v>-6.6</v>
      </c>
    </row>
    <row r="29" spans="2:9" x14ac:dyDescent="0.25">
      <c r="B29">
        <f t="shared" ca="1" si="0"/>
        <v>29</v>
      </c>
      <c r="G29" s="3"/>
      <c r="H29" s="65" t="s">
        <v>124</v>
      </c>
      <c r="I29" s="41" t="s">
        <v>0</v>
      </c>
    </row>
    <row r="30" spans="2:9" x14ac:dyDescent="0.25">
      <c r="B30">
        <f t="shared" ca="1" si="0"/>
        <v>3</v>
      </c>
      <c r="G30" s="3">
        <v>1</v>
      </c>
      <c r="H30" s="67" t="s">
        <v>134</v>
      </c>
      <c r="I30" s="7">
        <v>62.751127680311896</v>
      </c>
    </row>
    <row r="31" spans="2:9" x14ac:dyDescent="0.25">
      <c r="B31">
        <f t="shared" ca="1" si="0"/>
        <v>5</v>
      </c>
      <c r="G31" s="3">
        <v>2</v>
      </c>
      <c r="H31" s="67" t="s">
        <v>137</v>
      </c>
      <c r="I31" s="7">
        <v>61.883905458089671</v>
      </c>
    </row>
    <row r="32" spans="2:9" x14ac:dyDescent="0.25">
      <c r="B32">
        <f t="shared" ca="1" si="0"/>
        <v>22</v>
      </c>
      <c r="G32" s="3">
        <v>3</v>
      </c>
      <c r="H32" s="67" t="s">
        <v>153</v>
      </c>
      <c r="I32" s="7">
        <v>61.181283625730991</v>
      </c>
    </row>
    <row r="33" spans="2:9" x14ac:dyDescent="0.25">
      <c r="B33">
        <f t="shared" ca="1" si="0"/>
        <v>23</v>
      </c>
      <c r="G33" s="3">
        <v>4</v>
      </c>
      <c r="H33" s="67" t="s">
        <v>152</v>
      </c>
      <c r="I33" s="7">
        <v>57.169839181286548</v>
      </c>
    </row>
    <row r="34" spans="2:9" x14ac:dyDescent="0.25">
      <c r="B34">
        <f t="shared" ca="1" si="0"/>
        <v>36</v>
      </c>
      <c r="G34" s="3">
        <v>5</v>
      </c>
      <c r="H34" s="67" t="s">
        <v>147</v>
      </c>
      <c r="I34" s="7">
        <v>55.987197146907668</v>
      </c>
    </row>
    <row r="35" spans="2:9" x14ac:dyDescent="0.25">
      <c r="B35">
        <f t="shared" ca="1" si="0"/>
        <v>33</v>
      </c>
      <c r="G35" s="3">
        <v>6</v>
      </c>
      <c r="H35" s="67" t="s">
        <v>138</v>
      </c>
      <c r="I35" s="7">
        <v>55.337039230019499</v>
      </c>
    </row>
    <row r="36" spans="2:9" x14ac:dyDescent="0.25">
      <c r="B36">
        <f t="shared" ca="1" si="0"/>
        <v>2</v>
      </c>
      <c r="G36" s="3">
        <v>7</v>
      </c>
      <c r="H36" s="67" t="s">
        <v>130</v>
      </c>
      <c r="I36" s="7">
        <v>54.685518518518528</v>
      </c>
    </row>
    <row r="37" spans="2:9" x14ac:dyDescent="0.25">
      <c r="B37">
        <f t="shared" ca="1" si="0"/>
        <v>4</v>
      </c>
      <c r="G37" s="3">
        <v>8</v>
      </c>
      <c r="H37" s="67" t="s">
        <v>132</v>
      </c>
      <c r="I37" s="7">
        <v>53.780955968352245</v>
      </c>
    </row>
    <row r="38" spans="2:9" x14ac:dyDescent="0.25">
      <c r="B38">
        <f t="shared" ca="1" si="0"/>
        <v>28</v>
      </c>
      <c r="G38" s="3">
        <v>9</v>
      </c>
      <c r="H38" s="67" t="s">
        <v>135</v>
      </c>
      <c r="I38" s="7">
        <v>52.687701754385969</v>
      </c>
    </row>
    <row r="39" spans="2:9" x14ac:dyDescent="0.25">
      <c r="B39">
        <f t="shared" ca="1" si="0"/>
        <v>24</v>
      </c>
      <c r="G39" s="3">
        <v>10</v>
      </c>
      <c r="H39" s="67" t="s">
        <v>129</v>
      </c>
      <c r="I39" s="7">
        <v>50.546907213157219</v>
      </c>
    </row>
    <row r="40" spans="2:9" x14ac:dyDescent="0.25">
      <c r="B40">
        <f t="shared" ca="1" si="0"/>
        <v>31</v>
      </c>
      <c r="G40" s="3">
        <v>11</v>
      </c>
      <c r="H40" s="67" t="s">
        <v>151</v>
      </c>
      <c r="I40" s="7">
        <v>50.303124628639331</v>
      </c>
    </row>
    <row r="41" spans="2:9" x14ac:dyDescent="0.25">
      <c r="B41">
        <f t="shared" ca="1" si="0"/>
        <v>25</v>
      </c>
      <c r="G41" s="3">
        <v>12</v>
      </c>
      <c r="H41" s="67" t="s">
        <v>128</v>
      </c>
      <c r="I41" s="7">
        <v>50.003093310556544</v>
      </c>
    </row>
    <row r="42" spans="2:9" x14ac:dyDescent="0.25">
      <c r="B42">
        <f t="shared" ca="1" si="0"/>
        <v>30</v>
      </c>
      <c r="G42" s="3">
        <v>13</v>
      </c>
      <c r="H42" s="67" t="s">
        <v>141</v>
      </c>
      <c r="I42" s="7">
        <v>47.349753092767799</v>
      </c>
    </row>
    <row r="43" spans="2:9" x14ac:dyDescent="0.25">
      <c r="B43">
        <f t="shared" ca="1" si="0"/>
        <v>28</v>
      </c>
      <c r="G43" s="3">
        <v>14</v>
      </c>
      <c r="H43" s="67" t="s">
        <v>127</v>
      </c>
      <c r="I43" s="7">
        <v>45.818910005629043</v>
      </c>
    </row>
    <row r="44" spans="2:9" x14ac:dyDescent="0.25">
      <c r="B44">
        <f t="shared" ca="1" si="0"/>
        <v>1</v>
      </c>
      <c r="G44" s="3">
        <v>15</v>
      </c>
      <c r="H44" s="67" t="s">
        <v>148</v>
      </c>
      <c r="I44" s="7">
        <v>44.074537719225212</v>
      </c>
    </row>
    <row r="45" spans="2:9" x14ac:dyDescent="0.25">
      <c r="B45">
        <f t="shared" ca="1" si="0"/>
        <v>25</v>
      </c>
      <c r="G45" s="3">
        <v>16</v>
      </c>
      <c r="H45" s="67" t="s">
        <v>149</v>
      </c>
      <c r="I45" s="7">
        <v>43.368377702771078</v>
      </c>
    </row>
    <row r="46" spans="2:9" x14ac:dyDescent="0.25">
      <c r="B46">
        <f t="shared" ca="1" si="0"/>
        <v>10</v>
      </c>
      <c r="G46" s="3">
        <v>17</v>
      </c>
      <c r="H46" s="73" t="s">
        <v>131</v>
      </c>
      <c r="I46" s="7">
        <v>42.284250222816389</v>
      </c>
    </row>
    <row r="47" spans="2:9" x14ac:dyDescent="0.25">
      <c r="B47">
        <f t="shared" ca="1" si="0"/>
        <v>9</v>
      </c>
      <c r="G47" s="3">
        <v>18</v>
      </c>
      <c r="H47" s="67" t="s">
        <v>150</v>
      </c>
      <c r="I47" s="7">
        <v>42.184374948580832</v>
      </c>
    </row>
    <row r="48" spans="2:9" x14ac:dyDescent="0.25">
      <c r="B48">
        <f t="shared" ca="1" si="0"/>
        <v>2</v>
      </c>
      <c r="G48" s="3">
        <v>19</v>
      </c>
      <c r="H48" s="67" t="s">
        <v>139</v>
      </c>
      <c r="I48" s="7">
        <v>40.580367647058821</v>
      </c>
    </row>
    <row r="49" spans="2:9" x14ac:dyDescent="0.25">
      <c r="B49">
        <f t="shared" ca="1" si="0"/>
        <v>11</v>
      </c>
      <c r="G49" s="3">
        <v>20</v>
      </c>
      <c r="H49" s="67" t="s">
        <v>136</v>
      </c>
      <c r="I49" s="7">
        <v>40.121877765208644</v>
      </c>
    </row>
    <row r="50" spans="2:9" x14ac:dyDescent="0.25">
      <c r="B50">
        <f t="shared" ca="1" si="0"/>
        <v>20</v>
      </c>
      <c r="G50" s="3">
        <v>21</v>
      </c>
      <c r="H50" s="67" t="s">
        <v>133</v>
      </c>
      <c r="I50" s="7">
        <v>39.286397058823532</v>
      </c>
    </row>
    <row r="51" spans="2:9" x14ac:dyDescent="0.25">
      <c r="B51">
        <f t="shared" ca="1" si="0"/>
        <v>18</v>
      </c>
      <c r="G51" s="3">
        <v>22</v>
      </c>
      <c r="H51" s="67" t="s">
        <v>146</v>
      </c>
      <c r="I51" s="7">
        <v>16.648235294117647</v>
      </c>
    </row>
    <row r="52" spans="2:9" x14ac:dyDescent="0.25">
      <c r="B52">
        <f t="shared" ca="1" si="0"/>
        <v>2</v>
      </c>
      <c r="G52" s="3">
        <v>23</v>
      </c>
      <c r="H52" s="67" t="s">
        <v>126</v>
      </c>
      <c r="I52" s="7">
        <v>3.2749999999999999</v>
      </c>
    </row>
    <row r="53" spans="2:9" x14ac:dyDescent="0.25">
      <c r="B53">
        <f t="shared" ca="1" si="0"/>
        <v>4</v>
      </c>
      <c r="G53" s="3">
        <v>24</v>
      </c>
      <c r="H53" s="67" t="s">
        <v>125</v>
      </c>
      <c r="I53" s="7">
        <v>2.6613636363636362</v>
      </c>
    </row>
    <row r="54" spans="2:9" x14ac:dyDescent="0.25">
      <c r="B54">
        <f t="shared" ca="1" si="0"/>
        <v>15</v>
      </c>
      <c r="G54" s="3">
        <v>25</v>
      </c>
      <c r="H54" s="67" t="s">
        <v>143</v>
      </c>
      <c r="I54" s="7">
        <v>-5.1249999999999991</v>
      </c>
    </row>
    <row r="55" spans="2:9" x14ac:dyDescent="0.25">
      <c r="B55">
        <f t="shared" ca="1" si="0"/>
        <v>31</v>
      </c>
      <c r="G55" s="3">
        <v>26</v>
      </c>
      <c r="H55" s="67" t="s">
        <v>140</v>
      </c>
      <c r="I55" s="7">
        <v>-5.6999999999999993</v>
      </c>
    </row>
    <row r="56" spans="2:9" x14ac:dyDescent="0.25">
      <c r="B56">
        <f t="shared" ca="1" si="0"/>
        <v>20</v>
      </c>
    </row>
    <row r="57" spans="2:9" x14ac:dyDescent="0.25">
      <c r="B57">
        <f t="shared" ca="1" si="0"/>
        <v>18</v>
      </c>
    </row>
    <row r="58" spans="2:9" x14ac:dyDescent="0.25">
      <c r="B58">
        <f t="shared" ca="1" si="0"/>
        <v>27</v>
      </c>
    </row>
    <row r="59" spans="2:9" x14ac:dyDescent="0.25">
      <c r="B59">
        <f t="shared" ca="1" si="0"/>
        <v>30</v>
      </c>
    </row>
    <row r="60" spans="2:9" x14ac:dyDescent="0.25">
      <c r="B60">
        <f t="shared" ca="1" si="0"/>
        <v>31</v>
      </c>
    </row>
    <row r="61" spans="2:9" x14ac:dyDescent="0.25">
      <c r="B61">
        <f t="shared" ca="1" si="0"/>
        <v>9</v>
      </c>
    </row>
    <row r="62" spans="2:9" x14ac:dyDescent="0.25">
      <c r="B62">
        <f t="shared" ca="1" si="0"/>
        <v>7</v>
      </c>
    </row>
    <row r="63" spans="2:9" x14ac:dyDescent="0.25">
      <c r="B63">
        <f t="shared" ca="1" si="0"/>
        <v>4</v>
      </c>
    </row>
    <row r="64" spans="2:9" x14ac:dyDescent="0.25">
      <c r="B64">
        <f t="shared" ca="1" si="0"/>
        <v>29</v>
      </c>
    </row>
    <row r="65" spans="2:2" x14ac:dyDescent="0.25">
      <c r="B65">
        <f t="shared" ca="1" si="0"/>
        <v>36</v>
      </c>
    </row>
    <row r="66" spans="2:2" x14ac:dyDescent="0.25">
      <c r="B66">
        <f t="shared" ca="1" si="0"/>
        <v>26</v>
      </c>
    </row>
    <row r="67" spans="2:2" x14ac:dyDescent="0.25">
      <c r="B67">
        <f t="shared" ref="B67:B72" ca="1" si="1">RANDBETWEEN(1, 36)</f>
        <v>12</v>
      </c>
    </row>
    <row r="68" spans="2:2" x14ac:dyDescent="0.25">
      <c r="B68">
        <f t="shared" ca="1" si="1"/>
        <v>3</v>
      </c>
    </row>
    <row r="69" spans="2:2" x14ac:dyDescent="0.25">
      <c r="B69">
        <f t="shared" ca="1" si="1"/>
        <v>16</v>
      </c>
    </row>
    <row r="70" spans="2:2" x14ac:dyDescent="0.25">
      <c r="B70">
        <f t="shared" ca="1" si="1"/>
        <v>20</v>
      </c>
    </row>
    <row r="71" spans="2:2" x14ac:dyDescent="0.25">
      <c r="B71">
        <f t="shared" ca="1" si="1"/>
        <v>4</v>
      </c>
    </row>
    <row r="72" spans="2:2" x14ac:dyDescent="0.25">
      <c r="B72">
        <f t="shared" ca="1" si="1"/>
        <v>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Лаб0</vt:lpstr>
      <vt:lpstr>Лаб1</vt:lpstr>
      <vt:lpstr>Лаб2</vt:lpstr>
      <vt:lpstr>Лаб3</vt:lpstr>
      <vt:lpstr>Лаб4</vt:lpstr>
      <vt:lpstr>Лаб5</vt:lpstr>
      <vt:lpstr>Лаб6</vt:lpstr>
      <vt:lpstr>Лаб7</vt:lpstr>
      <vt:lpstr>Посещаемость</vt:lpstr>
      <vt:lpstr>Итоги</vt:lpstr>
      <vt:lpstr>Сорт.итоги по группам</vt:lpstr>
      <vt:lpstr>РГР-removed</vt:lpstr>
      <vt:lpstr>Лаб8-removed</vt:lpstr>
      <vt:lpstr>Лаб4-removed</vt:lpstr>
      <vt:lpstr>Должники</vt:lpstr>
      <vt:lpstr>Тех.карта</vt:lpstr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2017-01-27T11:21:55Z</dcterms:modified>
</cp:coreProperties>
</file>